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https://atos365.sharepoint.com/sites/190003894/it/IT/Hardware/Server/g. Price List &amp; Catalogues/X86 basket 2025/"/>
    </mc:Choice>
  </mc:AlternateContent>
  <xr:revisionPtr revIDLastSave="152" documentId="8_{F4C0FE47-7AB8-4152-B4FD-D13018F00352}" xr6:coauthVersionLast="47" xr6:coauthVersionMax="47" xr10:uidLastSave="{4829B2AA-F90A-4BB1-B1F9-F2BF6809FD65}"/>
  <bookViews>
    <workbookView xWindow="-28920" yWindow="-120" windowWidth="29040" windowHeight="15720" activeTab="1" xr2:uid="{00000000-000D-0000-FFFF-FFFF00000000}"/>
  </bookViews>
  <sheets>
    <sheet name="Cover" sheetId="7" r:id="rId1"/>
    <sheet name="Dell Lot Pricing" sheetId="49" r:id="rId2"/>
    <sheet name="Dell Options and Upgrades" sheetId="51" r:id="rId3"/>
    <sheet name="Exchange rates" sheetId="20" r:id="rId4"/>
    <sheet name="Dell - Country List" sheetId="8" r:id="rId5"/>
  </sheets>
  <externalReferences>
    <externalReference r:id="rId6"/>
    <externalReference r:id="rId7"/>
    <externalReference r:id="rId8"/>
    <externalReference r:id="rId9"/>
    <externalReference r:id="rId10"/>
    <externalReference r:id="rId11"/>
  </externalReferences>
  <definedNames>
    <definedName name="_xlnm._FilterDatabase" localSheetId="4" hidden="1">'Dell - Country List'!$A$4:$M$4</definedName>
    <definedName name="aaa">#REF!</definedName>
    <definedName name="AllPrice" localSheetId="4">#REF!</definedName>
    <definedName name="AllPrice">#REF!</definedName>
    <definedName name="BaseModel" localSheetId="4">#REF!</definedName>
    <definedName name="BaseModel">#REF!</definedName>
    <definedName name="BaseModelPrice" localSheetId="4">#REF!</definedName>
    <definedName name="BaseModelPrice">#REF!</definedName>
    <definedName name="BasePrice" localSheetId="4">#REF!</definedName>
    <definedName name="BasePrice">#REF!</definedName>
    <definedName name="Change_Costing_From" localSheetId="1">[1]!Change_Costing_From</definedName>
    <definedName name="Change_Costing_From">[1]!Change_Costing_From</definedName>
    <definedName name="CleintEmail" localSheetId="4">#REF!</definedName>
    <definedName name="CleintEmail">#REF!</definedName>
    <definedName name="ClientLand" localSheetId="4">#REF!</definedName>
    <definedName name="ClientLand">#REF!</definedName>
    <definedName name="Compet_DropBox_OK" localSheetId="1">[2]!Compet_DropBox_OK</definedName>
    <definedName name="Compet_DropBox_OK">[2]!Compet_DropBox_OK</definedName>
    <definedName name="ConfgCur" localSheetId="4">[3]Overview!#REF!</definedName>
    <definedName name="ConfgCur">[3]Overview!#REF!</definedName>
    <definedName name="ConfigCur" localSheetId="4">#REF!</definedName>
    <definedName name="ConfigCur">#REF!</definedName>
    <definedName name="Contractual_Ceiling_Off_List_DT" localSheetId="4">'[4]Desktop Standards'!#REF!</definedName>
    <definedName name="Contractual_Ceiling_Off_List_DT">'[4]Desktop Standards'!#REF!</definedName>
    <definedName name="Contractual_Ceiling_Off_List_NB" localSheetId="4">'[4]Desktop Standards'!#REF!</definedName>
    <definedName name="Contractual_Ceiling_Off_List_NB">'[4]Desktop Standards'!#REF!</definedName>
    <definedName name="Contractual_Ceiling_Off_List_Server" localSheetId="4">'[4]Desktop Standards'!#REF!</definedName>
    <definedName name="Contractual_Ceiling_Off_List_Server">'[4]Desktop Standards'!#REF!</definedName>
    <definedName name="DEPOROW" localSheetId="4">#REF!</definedName>
    <definedName name="DEPOROW">#REF!</definedName>
    <definedName name="Description" localSheetId="4">#REF!</definedName>
    <definedName name="Description">#REF!</definedName>
    <definedName name="Detail_Lookup_2" localSheetId="4">#REF!</definedName>
    <definedName name="Detail_Lookup_2">#REF!</definedName>
    <definedName name="Detail_Lookup_3" localSheetId="4">#REF!</definedName>
    <definedName name="Detail_Lookup_3">#REF!</definedName>
    <definedName name="Detail_Lookup_4" localSheetId="4">#REF!</definedName>
    <definedName name="Detail_Lookup_4">#REF!</definedName>
    <definedName name="ISAstart" localSheetId="4">'[5]Summary Analysis'!#REF!</definedName>
    <definedName name="ISAstart">'[5]Summary Analysis'!#REF!</definedName>
    <definedName name="Liste" localSheetId="4">#REF!</definedName>
    <definedName name="Liste">#REF!</definedName>
    <definedName name="MirrorMode" localSheetId="4">#REF!</definedName>
    <definedName name="MirrorMode">#REF!</definedName>
    <definedName name="NationalePrice" localSheetId="4">#REF!</definedName>
    <definedName name="NationalePrice">#REF!</definedName>
    <definedName name="Numberx" localSheetId="4">#REF!</definedName>
    <definedName name="Numberx">#REF!</definedName>
    <definedName name="OldNumber" localSheetId="4">#REF!</definedName>
    <definedName name="OldNumber">#REF!</definedName>
    <definedName name="OS" localSheetId="4">#REF!</definedName>
    <definedName name="OS">#REF!</definedName>
    <definedName name="Price" localSheetId="4">#REF!</definedName>
    <definedName name="Price">#REF!</definedName>
    <definedName name="PriceColumnEuro" localSheetId="4">#REF!</definedName>
    <definedName name="PriceColumnEuro">#REF!</definedName>
    <definedName name="PriceCur" localSheetId="4">#REF!</definedName>
    <definedName name="PriceCur">#REF!</definedName>
    <definedName name="project" localSheetId="4">[6]Pipeline!#REF!</definedName>
    <definedName name="project">[6]Pipeline!#REF!</definedName>
    <definedName name="Qry_Analysts" localSheetId="4">#REF!</definedName>
    <definedName name="Qry_Analysts">#REF!</definedName>
    <definedName name="Qry_Approver" localSheetId="4">#REF!</definedName>
    <definedName name="Qry_Approver">#REF!</definedName>
    <definedName name="Qry_Competitor" localSheetId="4">#REF!</definedName>
    <definedName name="Qry_Competitor">#REF!</definedName>
    <definedName name="Quarter">#REF!</definedName>
    <definedName name="RATE_MATCH" localSheetId="4">#REF!</definedName>
    <definedName name="RATE_MATCH">#REF!</definedName>
    <definedName name="RATEROW" localSheetId="4">#REF!</definedName>
    <definedName name="RATEROW">#REF!</definedName>
    <definedName name="RATES" localSheetId="4">#REF!</definedName>
    <definedName name="RATES">#REF!</definedName>
    <definedName name="RATETABLE" localSheetId="4">#REF!</definedName>
    <definedName name="RATETABLE">#REF!</definedName>
    <definedName name="SingleEuro" localSheetId="4">#REF!</definedName>
    <definedName name="SingleEuro">#REF!</definedName>
    <definedName name="Site_Level_Buying_power" localSheetId="4">#REF!</definedName>
    <definedName name="Site_Level_Buying_power">#REF!</definedName>
    <definedName name="sla3y1" localSheetId="4">#REF!</definedName>
    <definedName name="sla3y1">#REF!</definedName>
    <definedName name="sla3y2" localSheetId="4">#REF!</definedName>
    <definedName name="sla3y2">#REF!</definedName>
    <definedName name="sla3y3" localSheetId="4">#REF!</definedName>
    <definedName name="sla3y3">#REF!</definedName>
    <definedName name="sla3y4" localSheetId="4">#REF!</definedName>
    <definedName name="sla3y4">#REF!</definedName>
    <definedName name="STARTQTR" localSheetId="4">#REF!</definedName>
    <definedName name="STARTQTR">#REF!</definedName>
    <definedName name="SumEuro" localSheetId="4">#REF!</definedName>
    <definedName name="SumEuro">#REF!</definedName>
    <definedName name="SysName" localSheetId="4">#REF!</definedName>
    <definedName name="SysName">#REF!</definedName>
    <definedName name="TENOR" localSheetId="4">#REF!</definedName>
    <definedName name="TENOR">#REF!</definedName>
    <definedName name="ULTDUNS_SUMMARY_FINAL_FOR_OUTPUT_TO_EXCEL" localSheetId="4">#REF!</definedName>
    <definedName name="ULTDUNS_SUMMARY_FINAL_FOR_OUTPUT_TO_EXCEL">#REF!</definedName>
    <definedName name="VOLROW" localSheetId="4">#REF!</definedName>
    <definedName name="VOLRO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2" i="49" l="1"/>
  <c r="F5" i="49"/>
  <c r="O33" i="49"/>
  <c r="L237" i="49"/>
  <c r="M237" i="49" s="1"/>
  <c r="N237" i="49"/>
  <c r="O237" i="49" s="1"/>
  <c r="P237" i="49"/>
  <c r="Q237" i="49" s="1"/>
  <c r="R237" i="49"/>
  <c r="S237" i="49" s="1"/>
  <c r="L252" i="49"/>
  <c r="M252" i="49" s="1"/>
  <c r="N252" i="49"/>
  <c r="O252" i="49" s="1"/>
  <c r="P252" i="49"/>
  <c r="Q252" i="49" s="1"/>
  <c r="R252" i="49"/>
  <c r="S252" i="49" s="1"/>
  <c r="L207" i="49"/>
  <c r="M207" i="49" s="1"/>
  <c r="N207" i="49"/>
  <c r="O207" i="49" s="1"/>
  <c r="P207" i="49"/>
  <c r="Q207" i="49" s="1"/>
  <c r="R207" i="49"/>
  <c r="S207" i="49" s="1"/>
  <c r="L222" i="49"/>
  <c r="M222" i="49" s="1"/>
  <c r="N222" i="49"/>
  <c r="O222" i="49" s="1"/>
  <c r="P222" i="49"/>
  <c r="Q222" i="49" s="1"/>
  <c r="R222" i="49"/>
  <c r="S222" i="49" s="1"/>
  <c r="L177" i="49"/>
  <c r="M177" i="49" s="1"/>
  <c r="N177" i="49"/>
  <c r="O177" i="49" s="1"/>
  <c r="P177" i="49"/>
  <c r="Q177" i="49" s="1"/>
  <c r="R177" i="49"/>
  <c r="S177" i="49" s="1"/>
  <c r="L192" i="49"/>
  <c r="M192" i="49" s="1"/>
  <c r="N192" i="49"/>
  <c r="O192" i="49" s="1"/>
  <c r="P192" i="49"/>
  <c r="Q192" i="49" s="1"/>
  <c r="R192" i="49"/>
  <c r="S192" i="49" s="1"/>
  <c r="L162" i="49"/>
  <c r="M162" i="49" s="1"/>
  <c r="N162" i="49"/>
  <c r="O162" i="49" s="1"/>
  <c r="P162" i="49"/>
  <c r="Q162" i="49" s="1"/>
  <c r="R162" i="49"/>
  <c r="S162" i="49" s="1"/>
  <c r="L147" i="49"/>
  <c r="M147" i="49" s="1"/>
  <c r="N147" i="49"/>
  <c r="O147" i="49" s="1"/>
  <c r="P147" i="49"/>
  <c r="Q147" i="49" s="1"/>
  <c r="R147" i="49"/>
  <c r="S147" i="49" s="1"/>
  <c r="L132" i="49"/>
  <c r="M132" i="49" s="1"/>
  <c r="N132" i="49"/>
  <c r="O132" i="49" s="1"/>
  <c r="P132" i="49"/>
  <c r="Q132" i="49" s="1"/>
  <c r="R132" i="49"/>
  <c r="S132" i="49" s="1"/>
  <c r="R117" i="49"/>
  <c r="S117" i="49" s="1"/>
  <c r="P117" i="49"/>
  <c r="Q117" i="49" s="1"/>
  <c r="N117" i="49"/>
  <c r="O117" i="49" s="1"/>
  <c r="L117" i="49"/>
  <c r="M117" i="49" s="1"/>
  <c r="L89" i="49"/>
  <c r="M89" i="49" s="1"/>
  <c r="N89" i="49"/>
  <c r="O89" i="49" s="1"/>
  <c r="P89" i="49"/>
  <c r="Q89" i="49" s="1"/>
  <c r="R89" i="49"/>
  <c r="S89" i="49" s="1"/>
  <c r="L103" i="49"/>
  <c r="M103" i="49" s="1"/>
  <c r="N103" i="49"/>
  <c r="O103" i="49" s="1"/>
  <c r="P103" i="49"/>
  <c r="Q103" i="49" s="1"/>
  <c r="R103" i="49"/>
  <c r="S103" i="49" s="1"/>
  <c r="L61" i="49"/>
  <c r="M61" i="49" s="1"/>
  <c r="N61" i="49"/>
  <c r="O61" i="49" s="1"/>
  <c r="P61" i="49"/>
  <c r="Q61" i="49" s="1"/>
  <c r="R61" i="49"/>
  <c r="S61" i="49" s="1"/>
  <c r="L75" i="49"/>
  <c r="M75" i="49" s="1"/>
  <c r="N75" i="49"/>
  <c r="O75" i="49" s="1"/>
  <c r="P75" i="49"/>
  <c r="Q75" i="49" s="1"/>
  <c r="R75" i="49"/>
  <c r="S75" i="49" s="1"/>
  <c r="L47" i="49"/>
  <c r="M47" i="49" s="1"/>
  <c r="N47" i="49"/>
  <c r="O47" i="49" s="1"/>
  <c r="P47" i="49"/>
  <c r="Q47" i="49" s="1"/>
  <c r="R47" i="49"/>
  <c r="S47" i="49" s="1"/>
  <c r="L19" i="49"/>
  <c r="M19" i="49" s="1"/>
  <c r="N19" i="49"/>
  <c r="O19" i="49" s="1"/>
  <c r="P19" i="49"/>
  <c r="Q19" i="49" s="1"/>
  <c r="R19" i="49"/>
  <c r="S19" i="49" s="1"/>
  <c r="L33" i="49"/>
  <c r="M33" i="49" s="1"/>
  <c r="P33" i="49"/>
  <c r="Q33" i="49" s="1"/>
  <c r="R33" i="49"/>
  <c r="S33" i="49" s="1"/>
  <c r="R5" i="49"/>
  <c r="S5" i="49" s="1"/>
  <c r="P5" i="49"/>
  <c r="Q5" i="49" s="1"/>
  <c r="N5" i="49"/>
  <c r="O5" i="49" s="1"/>
  <c r="L5" i="49"/>
  <c r="M5" i="49" s="1"/>
  <c r="F252" i="49"/>
  <c r="F237" i="49"/>
  <c r="F207" i="49"/>
  <c r="F192" i="49"/>
  <c r="F162" i="49"/>
  <c r="F177" i="49"/>
  <c r="F147" i="49"/>
  <c r="F132" i="49"/>
  <c r="F117" i="49"/>
  <c r="F89" i="49"/>
  <c r="F103" i="49"/>
  <c r="F61" i="49"/>
  <c r="F75" i="49"/>
  <c r="F47" i="49"/>
  <c r="F33" i="49"/>
  <c r="F19" i="49"/>
</calcChain>
</file>

<file path=xl/sharedStrings.xml><?xml version="1.0" encoding="utf-8"?>
<sst xmlns="http://schemas.openxmlformats.org/spreadsheetml/2006/main" count="1703" uniqueCount="741">
  <si>
    <t>Atos X86 Server Pricing</t>
  </si>
  <si>
    <t>Latest version of the Procurement basket can be found here &gt;&gt;click&lt;&lt;</t>
  </si>
  <si>
    <t>Eviden - Contact purchasing:</t>
  </si>
  <si>
    <t>Olaf van den Berg - Global Lead Buyer Servers (olaf.vandenberg@atos.net)</t>
  </si>
  <si>
    <t>Atos - Contact purchasing:</t>
  </si>
  <si>
    <t>Nick Maidment  - Global Lead Buyer Workplace (nick.maidment@atos.net)</t>
  </si>
  <si>
    <t>Contact Atos TF:</t>
  </si>
  <si>
    <t>Sameer Mhatre  - Head of Global Server Engineering  (sameer.mhatre@atos.net)</t>
  </si>
  <si>
    <t>Global Contact Dell:</t>
  </si>
  <si>
    <t>Elmer Grotenhuis - Elmer.Grotenhuis@dell.com</t>
  </si>
  <si>
    <t>Quotation date:</t>
  </si>
  <si>
    <t>X86 RFP 2024</t>
  </si>
  <si>
    <t>Release date:</t>
  </si>
  <si>
    <t>Version:</t>
  </si>
  <si>
    <t>Valid For:</t>
  </si>
  <si>
    <t>Configurations and parts (not separate parts) mentioned in this document untill the current generation of servers will be EoL.</t>
  </si>
  <si>
    <t>Validity limitations</t>
  </si>
  <si>
    <t>Prices in this file are valid in all countries marked as 'Direct' in the 'Country list' tab of the respective vendor.
Other indirect countries will likely incur uplift.
Conditions DO NOT apply in cases where the customer will be owner.
If procured through a reseller, an additional margin may be applied.</t>
  </si>
  <si>
    <t>Exchange rates</t>
  </si>
  <si>
    <t xml:space="preserve">All prices are fixed in US Dollars.
Exchange rates will be change every 3 months
Vendors are obligated to communicate the new exchange rates.
</t>
  </si>
  <si>
    <t>Rebates and volume discounts</t>
  </si>
  <si>
    <t>Prices do not include and will not include volume discounts / end of year rebates. 
Potential volume discounts are collected for TF and paid under the Dell DTPP scheme or Lenovo Global rebate scehem
Only the Group CPO can descide to convert their cash-backs in local discounts</t>
  </si>
  <si>
    <t>How to use</t>
  </si>
  <si>
    <t xml:space="preserve">This file contains pricing details only and is intended for use within the procurement and technical community only. </t>
  </si>
  <si>
    <t>Out of catalogue</t>
  </si>
  <si>
    <r>
      <t xml:space="preserve">If parts, or brands are required that are not in this catalogue; higher prices may apply.
This basket came to existence with the cooperation with Tech Foundations. 
</t>
    </r>
    <r>
      <rPr>
        <b/>
        <sz val="10"/>
        <color theme="1"/>
        <rFont val="Arial"/>
        <family val="2"/>
      </rPr>
      <t>Whenever specific configurations which are not listed in this basket are required, please make sure in obtaining approval from Atos TF GSA.</t>
    </r>
  </si>
  <si>
    <t>Recommendations (NEW)</t>
  </si>
  <si>
    <t xml:space="preserve">When planning server purchases please follow the Operational Guidelines below:
https://atos365.sharepoint.com/:b:/r/sites/100000409/DCH%20Techartifacts/GLOBAL%20COMPUTE%20OPERATIONAL%20POLICIES/GLOBAL%20COMPUTE%20OPERATIONAL%20POLICIES.pdf?csf=1&amp;web=1&amp;e=Nwqccq
</t>
  </si>
  <si>
    <t>FOR PROCUREMENT INTERNAL USE ONLY</t>
  </si>
  <si>
    <t>Currencies</t>
  </si>
  <si>
    <t>Until 02/05/25</t>
  </si>
  <si>
    <t>EUR/USD Exc Rate</t>
  </si>
  <si>
    <t>Server Support Options</t>
  </si>
  <si>
    <t>Lot Description</t>
  </si>
  <si>
    <t>Item</t>
  </si>
  <si>
    <t>Specification</t>
  </si>
  <si>
    <t>Listprice</t>
  </si>
  <si>
    <t>Net Price US$</t>
  </si>
  <si>
    <t>Net Price Euro €</t>
  </si>
  <si>
    <t>Price with 3 yr PS</t>
  </si>
  <si>
    <t>Price with 5yr PS</t>
  </si>
  <si>
    <t>Price with 3 yr PSP</t>
  </si>
  <si>
    <t>Price with 5yr PSP</t>
  </si>
  <si>
    <t xml:space="preserve"> 3yr Pro Support $ &amp; €</t>
  </si>
  <si>
    <t>5yr Pro Support $ &amp; €</t>
  </si>
  <si>
    <t>3yr Pro support Plus $ &amp; €</t>
  </si>
  <si>
    <t>5yr Pro Support Plus $ &amp; €</t>
  </si>
  <si>
    <t>SMI1 - Intel  - 1 Proc - Small Rack Server</t>
  </si>
  <si>
    <t>Server</t>
  </si>
  <si>
    <t>1 Proc -Small Rack Server</t>
  </si>
  <si>
    <t>Dell Format or model</t>
  </si>
  <si>
    <t>R450 1U 1S</t>
  </si>
  <si>
    <t># HDD slots (cannot be changed APOS)</t>
  </si>
  <si>
    <t>8 x 2"1/2</t>
  </si>
  <si>
    <t>FIPS/TPM</t>
  </si>
  <si>
    <t>TPM 2.0 v3</t>
  </si>
  <si>
    <t>Processor/socket</t>
  </si>
  <si>
    <t>1 x 4309Y</t>
  </si>
  <si>
    <t>RAM (capacity)</t>
  </si>
  <si>
    <t>32GB (2x 16GB)</t>
  </si>
  <si>
    <t>Boot Disk</t>
  </si>
  <si>
    <t>BOSS 2x240GB Raid1</t>
  </si>
  <si>
    <t>Data Disk</t>
  </si>
  <si>
    <t>Wide choice of 2,5 inch HDD and SSD drives / capacity</t>
  </si>
  <si>
    <t>Raid controller</t>
  </si>
  <si>
    <t>PERC355</t>
  </si>
  <si>
    <t>Power Supply</t>
  </si>
  <si>
    <t>Dual PSU</t>
  </si>
  <si>
    <t>Remote Admin Card</t>
  </si>
  <si>
    <t>iDrac9 Basic/Express</t>
  </si>
  <si>
    <t>Type &amp; duration of Dell support</t>
  </si>
  <si>
    <t>3 Years Basic</t>
  </si>
  <si>
    <t># of nicports &amp; type</t>
  </si>
  <si>
    <t>2 x 10GBps SFP+  (no optics)</t>
  </si>
  <si>
    <t>rack kit</t>
  </si>
  <si>
    <t>Sliding without CMA</t>
  </si>
  <si>
    <t>SMI2 - Intel  - 2 Proc - Small Rack</t>
  </si>
  <si>
    <t>Intel  -2 Proc -Small Rack</t>
  </si>
  <si>
    <t>R660XS 1U 2S</t>
  </si>
  <si>
    <t>2 x 5415+ (8C/16T 2.9Ghz)</t>
  </si>
  <si>
    <t>64GB (2x 32GB)</t>
  </si>
  <si>
    <t>wide choice of type &amp; capacities</t>
  </si>
  <si>
    <t>Dual titanium PSU</t>
  </si>
  <si>
    <t>2x 1GbE (RJ45) + 2x 10/25GbE SFP+</t>
  </si>
  <si>
    <t>SMA1 - AMD - 1 Proc  - Small Rack</t>
  </si>
  <si>
    <t>AMD -1 Proc  -Small Rack</t>
  </si>
  <si>
    <t>$6,492.13</t>
  </si>
  <si>
    <t>R6615 1U 1S</t>
  </si>
  <si>
    <r>
      <t>1x 8C/16T 4</t>
    </r>
    <r>
      <rPr>
        <sz val="7"/>
        <color rgb="FF000000"/>
        <rFont val="Calibri"/>
        <family val="2"/>
      </rPr>
      <t>th</t>
    </r>
    <r>
      <rPr>
        <sz val="11"/>
        <color rgb="FF000000"/>
        <rFont val="Calibri"/>
        <family val="2"/>
      </rPr>
      <t>Generation (RTS late dec 2023)</t>
    </r>
  </si>
  <si>
    <t>32GB (4x 32GB)</t>
  </si>
  <si>
    <t>2x 1GbE (RJ45) + 2x 10GbE SFP+</t>
  </si>
  <si>
    <t>SMA2 - AMD - 2 Proc  - Small Rack</t>
  </si>
  <si>
    <t>AMD -2 Proc  -Small Rack</t>
  </si>
  <si>
    <t>R6625 1U 2S</t>
  </si>
  <si>
    <r>
      <t>2x 8C/16T 4</t>
    </r>
    <r>
      <rPr>
        <sz val="7"/>
        <color rgb="FF000000"/>
        <rFont val="Calibri"/>
        <family val="2"/>
      </rPr>
      <t>th</t>
    </r>
    <r>
      <rPr>
        <sz val="11"/>
        <color rgb="FF000000"/>
        <rFont val="Calibri"/>
        <family val="2"/>
      </rPr>
      <t>Generation (RTS late dec 2023)</t>
    </r>
  </si>
  <si>
    <t>MEI1 - Medium Intel Rack Server</t>
  </si>
  <si>
    <t>Medium Intel Rack Server</t>
  </si>
  <si>
    <t>10 x 2"1/2</t>
  </si>
  <si>
    <t>2 x 4410Y (12C/24T)</t>
  </si>
  <si>
    <t>128GB (4x 32GB)</t>
  </si>
  <si>
    <t>MEA1 - Medium AMD Rack Server</t>
  </si>
  <si>
    <t>Medium AMD Rack Server</t>
  </si>
  <si>
    <t>2x AMD EPYC 9124 (16C/32T)</t>
  </si>
  <si>
    <t>HVI1 - Heavy Intel Rack Server</t>
  </si>
  <si>
    <t>Heavy Intel Rack Server</t>
  </si>
  <si>
    <t>R760 2U 2S</t>
  </si>
  <si>
    <t>24 x 2"1/2</t>
  </si>
  <si>
    <t>2 x 8462Y 32C/64T 2.8Ghz</t>
  </si>
  <si>
    <t>512GB (16x 32GB)</t>
  </si>
  <si>
    <t>HVA1 - Heavy AMD Rack Server</t>
  </si>
  <si>
    <t>Heavy AMD Rack Server</t>
  </si>
  <si>
    <t>R7625 2U 2S</t>
  </si>
  <si>
    <t>2 x 9554 64C/128T 3.1Ghz 256M</t>
  </si>
  <si>
    <t>1024GB (16x 64GB)</t>
  </si>
  <si>
    <t>HBA355i</t>
  </si>
  <si>
    <t>VEI1 - VSAN Ready Server (ESA), Intel (upto 15TB Per Node)</t>
  </si>
  <si>
    <t>VSAN Ready Server (ESA)</t>
  </si>
  <si>
    <t>Format or model</t>
  </si>
  <si>
    <t>R760 VSAN RN 2U</t>
  </si>
  <si>
    <t>24 x 2"1/2 NVMe</t>
  </si>
  <si>
    <t>Quick Sync</t>
  </si>
  <si>
    <t>No Quick Sync</t>
  </si>
  <si>
    <t>2 x 6442Y (24C/48T)</t>
  </si>
  <si>
    <t>BOSS 2x240GB Raid 1</t>
  </si>
  <si>
    <t>Cache Disk</t>
  </si>
  <si>
    <t>none (ESA)</t>
  </si>
  <si>
    <t>5 x 3.2GB NVMe</t>
  </si>
  <si>
    <t># of nic ports &amp; type</t>
  </si>
  <si>
    <t>2 x 10/25GBps SFP28</t>
  </si>
  <si>
    <t>VEI2 - VSAN Ready Server (ESA), Intel (15 - 60TB Per Node)</t>
  </si>
  <si>
    <t>VSAN Ready Server (ESA)(Intel 15-60TB Per Node)</t>
  </si>
  <si>
    <t>16 x 3.84GB NVMe</t>
  </si>
  <si>
    <t>2x 1GbE + 2x 100GbE</t>
  </si>
  <si>
    <t>VEA1 - VSAN Ready Server ESA, (AMD) - Upto 15TB Per Node</t>
  </si>
  <si>
    <t>VSAN Ready Server ESA(AMD Upto15TB Per Node)</t>
  </si>
  <si>
    <t>R7615 VSAN RN 2U</t>
  </si>
  <si>
    <t>1 x 9454 48C/96T 2.75Ghz</t>
  </si>
  <si>
    <t>512GB (8x 64GB)</t>
  </si>
  <si>
    <t>2x 1GbE +2x 10/25GbE</t>
  </si>
  <si>
    <t>VEA2 - VSAN Ready Server ESA, (AMD) - (16  - 60TB)</t>
  </si>
  <si>
    <t>VSAN Ready Server ESA(AMD 15TB-60TB)</t>
  </si>
  <si>
    <t>2 x 9534 64C/128T 2.45Ghz</t>
  </si>
  <si>
    <t>1024GB (8x 128GB)</t>
  </si>
  <si>
    <t>2x 1GbE +2x 100GbE</t>
  </si>
  <si>
    <t>VOI1 - Intel - VSAN Ready Server (OSA) - All Flash</t>
  </si>
  <si>
    <t>VSAN Ready Server (OSA)(Intel All Flash)</t>
  </si>
  <si>
    <t>2 x 5420+ 28C/56T 2Ghz</t>
  </si>
  <si>
    <t>2 x 480GB NVMe SSD</t>
  </si>
  <si>
    <t>2x 960GB + 8x 1.6TB NVMe SSD</t>
  </si>
  <si>
    <t>2x 1GbE + 2 x 10/25GBps SFP28</t>
  </si>
  <si>
    <t>VOA1 - AMD - VSAN Ready Server (OSA) - All Flash</t>
  </si>
  <si>
    <t>VSAN Ready Server (OSA)(AMD All Flash)</t>
  </si>
  <si>
    <t>1 x 9434 64C/128T 2.45Ghz</t>
  </si>
  <si>
    <t>2 x 960GB NVMe SSD</t>
  </si>
  <si>
    <t>8x 1.6TB NVMe SSD</t>
  </si>
  <si>
    <t>VOI2 - Intel - VSAN Ready Server (OSA) - Hybrid</t>
  </si>
  <si>
    <t>VSAN Ready Server (OSA)(Intel Hybrid)</t>
  </si>
  <si>
    <t>24 x 2"1/2 SAS/NVMe</t>
  </si>
  <si>
    <t>512GB</t>
  </si>
  <si>
    <t>6 x 2.4TB SAS 10K</t>
  </si>
  <si>
    <t>VOA2 - AMD - VSAN Ready Server (OSA) - Hybrid</t>
  </si>
  <si>
    <t>VSAN Ready Server (OSA) - (AMD Hybrid)</t>
  </si>
  <si>
    <t>DHC1 - Compute</t>
  </si>
  <si>
    <t>R660 1U 2S</t>
  </si>
  <si>
    <t>2 x 9462</t>
  </si>
  <si>
    <t>2048GB (32x 64GB)</t>
  </si>
  <si>
    <t>1x 1.6TB NVMe + 5x 3.84TB NVMe</t>
  </si>
  <si>
    <t>PERC raid controller</t>
  </si>
  <si>
    <t>DHC2 - MGMT</t>
  </si>
  <si>
    <t>2 x 5420</t>
  </si>
  <si>
    <t>768GB (24x 32GB)</t>
  </si>
  <si>
    <t>2x 960B NVMe + 6x 2.4TB 10rpm</t>
  </si>
  <si>
    <t>2x 1GbE (RJ45) + 2x 10/25GbE SFP28</t>
  </si>
  <si>
    <t>* Currency = USD</t>
  </si>
  <si>
    <t>* Validity untill 01-05-2025 (upon availability)</t>
  </si>
  <si>
    <t>SKU</t>
  </si>
  <si>
    <t>SKU Description</t>
  </si>
  <si>
    <t>SkuType</t>
  </si>
  <si>
    <t>Qty</t>
  </si>
  <si>
    <t>List Price</t>
  </si>
  <si>
    <t>Sell price</t>
  </si>
  <si>
    <t>Discount</t>
  </si>
  <si>
    <t>338-CHSC</t>
  </si>
  <si>
    <t>Intel Xeon Gold 6438N 2G, 32C/64T, 16GT/s, 60M Cache, Turbo, HT (205W) DDR5-4800</t>
  </si>
  <si>
    <t>Upgrade</t>
  </si>
  <si>
    <t>338-CHSD</t>
  </si>
  <si>
    <t>Intel Xeon Gold 6458Q 3.1G, 32C/64T, 16GT/s, 60M Cache, Turbo, HT (350W) DDR5-4800</t>
  </si>
  <si>
    <t>338-CHSF</t>
  </si>
  <si>
    <t>Intel Xeon Platinum 8470N 1.7G, 52C/104T, 16GT/s, 98M Cache, Turbo, HT (300W) DDR5-4800</t>
  </si>
  <si>
    <t>338-CHSH</t>
  </si>
  <si>
    <t>Intel Xeon Platinum 8470Q 2.1G, 52C/104T, 16GT/s, 105M Cache, Turbo, HT (350W) DDR5-4800</t>
  </si>
  <si>
    <t>338-CHSJ</t>
  </si>
  <si>
    <t>Intel Xeon Gold 6442Y 2.6G, 24C/48T, 16GT/s, 60M Cache, Turbo, HT (225W) DDR5-4800</t>
  </si>
  <si>
    <t>338-CHSK</t>
  </si>
  <si>
    <t>Intel Xeon Gold 6434 3.7G, 8C/16T, 16GT/s, 23M Cache, Turbo, HT (195W) DDR5-4800</t>
  </si>
  <si>
    <t>338-CHSL</t>
  </si>
  <si>
    <t>Intel Xeon Gold 5416S 2G, 16C/32T, 16GT/s, 30M Cache, Turbo, HT (150W) DDR5-4400</t>
  </si>
  <si>
    <t>338-CHSM</t>
  </si>
  <si>
    <t>Intel Xeon Gold 6444Y 3.6G, 16C/32T, 16GT/s, 45M Cache, Turbo, HT (270W) DDR5-4800</t>
  </si>
  <si>
    <t>338-CHSN</t>
  </si>
  <si>
    <t>Intel Xeon Platinum 8452Y 2G, 36C/72T, 16GT/s, 68M Cache, Turbo, HT (300W) DDR5-4800</t>
  </si>
  <si>
    <t>338-CHSP</t>
  </si>
  <si>
    <t>Intel Xeon Platinum 8470 2G, 52C/104T, 16GT/s, 105M Cache, Turbo, HT (350W) DDR5-4800</t>
  </si>
  <si>
    <t>338-CHSQ</t>
  </si>
  <si>
    <t>Intel Xeon Platinum 8460Y+ 2G, 40C/80T, 16GT/s, 105M Cache, Turbo, HT (300W) DDR5-4800</t>
  </si>
  <si>
    <t>338-CHSR</t>
  </si>
  <si>
    <t>Intel Xeon Gold 5418Y 2G, 24C/48T, 16GT/s, 45M Cache, Turbo, HT (185W) DDR5-4400</t>
  </si>
  <si>
    <t>338-CHSS</t>
  </si>
  <si>
    <t>Intel Xeon Gold 5415+ 2.9G, 8C/16T, 16GT/s, 22.5M Cache, Turbo, HT (150W) DDR5-4400</t>
  </si>
  <si>
    <t>338-CHSW</t>
  </si>
  <si>
    <t>Intel Xeon Gold 6428N 1.8G, 32C/64T, 16GT/s, 60M Cache, Turbo, HT (185W) DDR5-4800</t>
  </si>
  <si>
    <t>338-CHSY</t>
  </si>
  <si>
    <t>Intel Xeon Gold 6454S 2.2G, 32C/64T, 16GT/s, 60M Cache, Turbo, HT (270W) DDR5-4800</t>
  </si>
  <si>
    <t>338-CHSZ</t>
  </si>
  <si>
    <t>Intel Xeon Gold 5418N 1.8G, 24C/48T, 16GT/s, 45M Cache, Turbo, HT (165W) DDR5-4400</t>
  </si>
  <si>
    <t>338-CHTB</t>
  </si>
  <si>
    <t>Intel Xeon Platinum 8468 2.1G, 48C/96T, 16GT/s, 105M Cache, Turbo, HT (350W) DDR5-4800</t>
  </si>
  <si>
    <t>338-CHTD</t>
  </si>
  <si>
    <t>Intel Xeon Gold 6438Y+ 2G, 32C/64T, 16GT/s, 60M Cache, Turbo, HT (205W) DDR5-4800</t>
  </si>
  <si>
    <t>338-CHTG</t>
  </si>
  <si>
    <t>Intel Xeon Gold 6426Y 2.5G, 16C/32T, 16GT/s, 38M Cache, Turbo, HT (185W) DDR5-4800</t>
  </si>
  <si>
    <t>338-CHTH</t>
  </si>
  <si>
    <t>Intel Xeon SIlver 4416+ 2G, 20C/40T, 16GT/s, 38M Cache, Turbo, HT (165W) DDR5-4000</t>
  </si>
  <si>
    <t>338-CHTJ</t>
  </si>
  <si>
    <t>Intel Xeon Gold 6448Y 2.1G, 32C/64T, 16GT/s, 60M Cache, Turbo, HT (225W) DDR5-4800</t>
  </si>
  <si>
    <t>338-CHTK</t>
  </si>
  <si>
    <t>Intel Xeon Gold 6430 2.1G, 32C/64T, 16GT/s, 60M Cache, Turbo, HT (270W) DDR5-4400</t>
  </si>
  <si>
    <t>338-CHTL</t>
  </si>
  <si>
    <t>Intel Xeon Gold 5420+ 2G, 28C/56T, 16GT/s, 53M Cache, Turbo, HT (205W) DDR5-4400</t>
  </si>
  <si>
    <t>338-CHTM</t>
  </si>
  <si>
    <t>Intel Xeon Platinum 8462Y+ 2.8G, 32C/64T, 16GT/s, 60M Cache, Turbo, HT (300W) DDR5-4800</t>
  </si>
  <si>
    <t>338-CHTN</t>
  </si>
  <si>
    <t>Intel Xeon Gold 6438M 2.2G, 32C/64T, 16GT/s, 60M Cache, Turbo, HT (205W) DDR5-4800</t>
  </si>
  <si>
    <t>379-BEXV</t>
  </si>
  <si>
    <t>Intel Xeon Platinum 8480+ 2.0G, 56C/112T, 16GT/s, 105M Cache, Turbo, HT (350W) DDR5-4800</t>
  </si>
  <si>
    <t>* Validity untill 30-04-2025</t>
  </si>
  <si>
    <t>161-BBTE</t>
  </si>
  <si>
    <t>20TB HDD SATA ISE 6Gbps 7.2K 512e 3.5in Hot-Plug, CUS Kit</t>
  </si>
  <si>
    <t>Option</t>
  </si>
  <si>
    <t>161-BBZS</t>
  </si>
  <si>
    <t>16TB Hard Drive SAS 12Gbps 7.2K 512e 3.5in Hot-Plug, Customer Kit</t>
  </si>
  <si>
    <t>$1,408.75</t>
  </si>
  <si>
    <t>161-BCHF</t>
  </si>
  <si>
    <t>2.4TB Hard Drive SAS ISE 12Gbps 10K 512e 2.5in Hot-Plug Customer Kit</t>
  </si>
  <si>
    <t>$800.35</t>
  </si>
  <si>
    <t>345-BDZZ</t>
  </si>
  <si>
    <t>480GB SSD SATA Read Intensive 6Gbps 512e 2.5in Hot-Plug , CUS Kit</t>
  </si>
  <si>
    <t>$967.36</t>
  </si>
  <si>
    <t>345-BEFW</t>
  </si>
  <si>
    <t>960GB SSD SATA Read Intensive 6Gbps 512e 2.5in Hot-Plug, CUS Kit</t>
  </si>
  <si>
    <t>$927.24</t>
  </si>
  <si>
    <t>345-BEWL</t>
  </si>
  <si>
    <t>3.84TB SSD SATA 6Gbps ,Mixed Use, 512e 2.5in Hot-Plug Customer Kit</t>
  </si>
  <si>
    <t>$8,036.13</t>
  </si>
  <si>
    <t>345-BFQG</t>
  </si>
  <si>
    <t>3.84TB SSD up to SAS 24Gbps ISE RI 512e 2.5in Hot-Plug 1WPD, CK</t>
  </si>
  <si>
    <t>$7,278.07</t>
  </si>
  <si>
    <t>345-BFVG</t>
  </si>
  <si>
    <t>7.68TB SSD up to SAS 24Gbps ISE RI 512e 2.5in Hot-Plug 1WPD, CK</t>
  </si>
  <si>
    <t>$12,254.84</t>
  </si>
  <si>
    <t>345-BFXL</t>
  </si>
  <si>
    <t>1.6TB SSD up to SAS 24Gbps ISE MU 512e 2.5in Hot-Plug 3WPD, CK</t>
  </si>
  <si>
    <t>$4,315.21</t>
  </si>
  <si>
    <t>345-BFYF</t>
  </si>
  <si>
    <t>800GB SSD up to SAS 24Gbps ISE MU 512e 2.5in Hot-Plug 3WPD, CK</t>
  </si>
  <si>
    <t>$3,762.12</t>
  </si>
  <si>
    <t>345-BFYY</t>
  </si>
  <si>
    <t>1.92TB SSD up to SAS 24Gbps ISE RI 512e 2.5in Hot-Plug 1WPD, CK</t>
  </si>
  <si>
    <t>$4,619.96</t>
  </si>
  <si>
    <t>345-BGFN</t>
  </si>
  <si>
    <t>960GB SSD up to SAS 24Gbps FIPS MU 512e 2.5in Hot-Plug PM6 3WPD, CK</t>
  </si>
  <si>
    <t>$3,713.32</t>
  </si>
  <si>
    <t>345-BHKM</t>
  </si>
  <si>
    <t>3.84TB SSD up to SAS 24Gbps FIPS RI 512e 2.5in Hot-Plug PM6 1WPD, CK</t>
  </si>
  <si>
    <t>$4,768.54</t>
  </si>
  <si>
    <t>345-BHMV</t>
  </si>
  <si>
    <t>3.84TB SSD up to SAS 24Gbps FIPS MU 512e 2.5in Hot-Plug PM6 3WPD, CK</t>
  </si>
  <si>
    <t>$7,847.43</t>
  </si>
  <si>
    <t>345-BHRZ</t>
  </si>
  <si>
    <t>3.84TB SSD vSAS SED MU 12Gbps 512e 2.5in Hot-Plug, CK</t>
  </si>
  <si>
    <t>$6,927.78</t>
  </si>
  <si>
    <t>345-BHSC</t>
  </si>
  <si>
    <t>960GB SSD vSAS SED RI 12Gbps 512e 2.5in Hot-Plug, CK</t>
  </si>
  <si>
    <t>$1,965.10</t>
  </si>
  <si>
    <t>345-BHTK</t>
  </si>
  <si>
    <t>960GB SSD vSAS SED MU 12Gbps 512e 2.5in Hot-Plug, CK</t>
  </si>
  <si>
    <t>$2,349.02</t>
  </si>
  <si>
    <t>345-BHTN</t>
  </si>
  <si>
    <t>7.68TB SSD vSAS SED RI 512e 2.5in with 3.5in HYB CARR, CK</t>
  </si>
  <si>
    <t>$10,875.36</t>
  </si>
  <si>
    <t>345-BHTY</t>
  </si>
  <si>
    <t>1.92TB SSD vSAS SED MU 12Gbps 512e 2.5in Hot-Plug, CK</t>
  </si>
  <si>
    <t>$3,755.61</t>
  </si>
  <si>
    <t>345-BHVZ</t>
  </si>
  <si>
    <t>1.92TB SSD vSAS SED RI 512e 2.5in Hot-Plug, CK</t>
  </si>
  <si>
    <t>$3,565.83</t>
  </si>
  <si>
    <t>400-AVHG</t>
  </si>
  <si>
    <t>2.4TB 10K RPM Self-Encrypting SAS 12Gbps 512e 2.5in Hot-plug Hard Drive, FIPS SED140 SED , CK</t>
  </si>
  <si>
    <t>$902.29</t>
  </si>
  <si>
    <t>400-AWMV</t>
  </si>
  <si>
    <t>12TB 7.2K RPM SATA 6Gbps 512e 3.5in Internal Hard Drive, CK</t>
  </si>
  <si>
    <t>$1,251.50</t>
  </si>
  <si>
    <t>400-BIFW</t>
  </si>
  <si>
    <t>600GB Hard Drive SAS ISE 12Gbps 10k 512n 2.5in Hot-Plug, CUS Kit</t>
  </si>
  <si>
    <t>$469.58</t>
  </si>
  <si>
    <t>400-BKFK</t>
  </si>
  <si>
    <t>1.6TB, Enterprise, NVMe, Mixed Use Drive, U.2, Gen4 with carrier, CK</t>
  </si>
  <si>
    <t>$4,046.26</t>
  </si>
  <si>
    <t>400-BLLM</t>
  </si>
  <si>
    <t>8TB Hard Drive SAS FIPS SED-140 SED 7.2K 512e 3.5in Hot-Plug, CUS Kit</t>
  </si>
  <si>
    <t>$1,077.98</t>
  </si>
  <si>
    <t>400-BLTE</t>
  </si>
  <si>
    <t>16TB Hard Drive SATA 6Gbps 7.2K 512e 3.5in Hot-Plug, CUS Kit</t>
  </si>
  <si>
    <t>$1,401.16</t>
  </si>
  <si>
    <t>400-BMTR</t>
  </si>
  <si>
    <t>960GB Data Center NVMe Read Intensive AG Drive U2 Gen4 with carrier, Customer Kit</t>
  </si>
  <si>
    <t>$1,622.40</t>
  </si>
  <si>
    <t>400-BMVP</t>
  </si>
  <si>
    <t>1.6TB Enterprise NVMe Mixed Use AG SED Drive U.2 Gen4 with carrier, FIPS, Customer Kit</t>
  </si>
  <si>
    <t>400-BNLQ</t>
  </si>
  <si>
    <t>1.92TB Enterprise NVMe Read Intensive AG Drive U.2 Gen4  Flex Bay</t>
  </si>
  <si>
    <t>$1,735.20</t>
  </si>
  <si>
    <t>400-BQPS</t>
  </si>
  <si>
    <t>1.92TB SSD vSAS 12Gbps RI 512e 2.5in Cabled, Customer Kit</t>
  </si>
  <si>
    <t>$3,560.40</t>
  </si>
  <si>
    <t>405-AAXT</t>
  </si>
  <si>
    <t>PERC H755 Adapter, CK</t>
  </si>
  <si>
    <t>$2,165.74</t>
  </si>
  <si>
    <t>405-AAZY</t>
  </si>
  <si>
    <t>Dell HBA355e Adapter Low Profile/Full Height, ck</t>
  </si>
  <si>
    <t>$765.66</t>
  </si>
  <si>
    <t>405-ABCT</t>
  </si>
  <si>
    <t>PERC H355 Adapter, Customer Kit</t>
  </si>
  <si>
    <t>$1,080.15</t>
  </si>
  <si>
    <t>405-BBBT</t>
  </si>
  <si>
    <t>PERC H965e, Adapter Full Height/Low Profile, CusKit</t>
  </si>
  <si>
    <t>$2,779.56</t>
  </si>
  <si>
    <t>406-BBQE</t>
  </si>
  <si>
    <t>QLogic 2772 Dual Port 32Gb Fibre Channel HBA, PCIe Full Height Customer Install</t>
  </si>
  <si>
    <t>$4,448.61</t>
  </si>
  <si>
    <t>406-BBTF</t>
  </si>
  <si>
    <t>Emulex LPe35002 Dual Port FC32 Fibre Channel HBA, PCIe Low Profile, Customer Kit</t>
  </si>
  <si>
    <t>$4,706.72</t>
  </si>
  <si>
    <t>406-BBTG</t>
  </si>
  <si>
    <t>Emulex LPe35002 Dual Port FC32 Fibre Channel HBA, PCIe Full Height, Customer Kit</t>
  </si>
  <si>
    <t>406-BBTH</t>
  </si>
  <si>
    <t>Emulex LPe35000 Single Port FC32 Fibre Channel HBA, PCIe Full Height, Customer Kit</t>
  </si>
  <si>
    <t>$3,547.39</t>
  </si>
  <si>
    <t>406-BBTK</t>
  </si>
  <si>
    <t>Emulex LPe35000 Single Port FC32 Fibre Channel HBA, PCIe Low Profile, Customer Kit</t>
  </si>
  <si>
    <t>407-BCBN</t>
  </si>
  <si>
    <t>SFP+ SR Optic for all SFP+ ports except high temp validation warning cards customer install</t>
  </si>
  <si>
    <t>$818.79</t>
  </si>
  <si>
    <t>407-BCHI</t>
  </si>
  <si>
    <t>SFP28 SR Optic, 25GbE, 85C, for all SFP28 ports, Customer Install</t>
  </si>
  <si>
    <t>$532.48</t>
  </si>
  <si>
    <t>450-AKMH</t>
  </si>
  <si>
    <t>Single, Hot-Plug, Power Supply 2400W Non Redundant, D,CK</t>
  </si>
  <si>
    <t>$981.46</t>
  </si>
  <si>
    <t>450-AKMI</t>
  </si>
  <si>
    <t>Power Supply 800W NRDNT L, Mixed Mode,CK</t>
  </si>
  <si>
    <t>$353.54</t>
  </si>
  <si>
    <t>450-AKYD</t>
  </si>
  <si>
    <t>Single, Hot Plug, Power Supply Non-Redundant 1400W,Del,CK</t>
  </si>
  <si>
    <t>$729.86</t>
  </si>
  <si>
    <t>450-ALGN</t>
  </si>
  <si>
    <t>Single, Hot-Plug, Power Supply, 2800W MM HLAC (200-240Vac) Titanium, Customer Kit, by Delta</t>
  </si>
  <si>
    <t>$1,714.58</t>
  </si>
  <si>
    <t>450-AMET</t>
  </si>
  <si>
    <t>Single, Hot-Plug, Power Supply, 1800W MM HLAC (200-240Vac) Titanium, Customer Kit, by LiteOn</t>
  </si>
  <si>
    <t>$1,125.71</t>
  </si>
  <si>
    <t>450-AMIR</t>
  </si>
  <si>
    <t>Single, Hot-Plug, Power Supply, 700W MM HLAC (200-240Vac) Titanium, Customer Kit, by Delta</t>
  </si>
  <si>
    <t>$663.70</t>
  </si>
  <si>
    <t>470-AAVG</t>
  </si>
  <si>
    <t>Dell Networking, Cable, SFP+ to SFP+, 10GbE, Copper Twinax Direct Attach Cable, 5 Meter,CusKit</t>
  </si>
  <si>
    <t>$131.21</t>
  </si>
  <si>
    <t>470-AAVH</t>
  </si>
  <si>
    <t>Dell Networking, Cable, SFP+ to SFP+, 10GbE, Copper Twinax Direct Attach Cable, 1 Meter,CusKit</t>
  </si>
  <si>
    <t>$93.26</t>
  </si>
  <si>
    <t>470-AAVJ</t>
  </si>
  <si>
    <t>Dell Networking, Cable, SFP+ to SFP+, 10GbE, Copper Twinax Direct Attach Cable, 3 Meter,CusKit</t>
  </si>
  <si>
    <t>$103.02</t>
  </si>
  <si>
    <t>528-BIYX</t>
  </si>
  <si>
    <t>OpenManage Enterprise Advanced APOS</t>
  </si>
  <si>
    <t>$290.65</t>
  </si>
  <si>
    <t>540-BCMX</t>
  </si>
  <si>
    <t>Mellanox ConnectX-6 Single Port HDR100 QSFP56 Infiniband Adapter, PCIe Low Profile, Customer Install</t>
  </si>
  <si>
    <t>$3,594.02</t>
  </si>
  <si>
    <t>540-BCNL</t>
  </si>
  <si>
    <t>Mellanox ConnectX-6 Single Port HDR VPI Infiniband Adapter, PCIe Low Profile, Customer Install</t>
  </si>
  <si>
    <t>$4,605.86</t>
  </si>
  <si>
    <t>540-BCOS</t>
  </si>
  <si>
    <t>Broadcom 5720 Quad Port 1GbE BASE-T, OCP NIC 3.0 Customer Install</t>
  </si>
  <si>
    <t>$253.76</t>
  </si>
  <si>
    <t>540-BCOT</t>
  </si>
  <si>
    <t>Intel i350 Quad Port 1GbE BASE-T, OCP NIC 3.0 Customer Install</t>
  </si>
  <si>
    <t>$687.56</t>
  </si>
  <si>
    <t>540-BCRY</t>
  </si>
  <si>
    <t>Broadcom 57504 Quad Port 10/25GbE,SFP28, OCP NIC 3.0 Customer Install</t>
  </si>
  <si>
    <t>$1,286.21</t>
  </si>
  <si>
    <t>540-BCSC</t>
  </si>
  <si>
    <t>Intel X710-T2L Dual Port 10GbE BASE-T Adapter, PCIe Full Height Customer Install</t>
  </si>
  <si>
    <t>$1,062.80</t>
  </si>
  <si>
    <t>540-BCSE</t>
  </si>
  <si>
    <t>Intel X710-T2L Dual Port 10GbE BASE-T, PCIE Adapter, Low Profile, Customer Install</t>
  </si>
  <si>
    <t>$1,068.22</t>
  </si>
  <si>
    <t>540-BCSF</t>
  </si>
  <si>
    <t>Intel X710-T4L Quad Port 10GbE BASE-T Adapter, PCIe Low Profile Customer Install</t>
  </si>
  <si>
    <t>$2,035.60</t>
  </si>
  <si>
    <t>540-BCSI</t>
  </si>
  <si>
    <t>Intel X710-T4L Quad Port 10GbE BASE-T, OCP NIC 3.0 Customer Install</t>
  </si>
  <si>
    <t>$1,600.71</t>
  </si>
  <si>
    <t>540-BCXM</t>
  </si>
  <si>
    <t>Mellanox ConnectX-6 DX Dual Port 100GbE QSFP56 Network Adapter, Low Profile Customer Kit</t>
  </si>
  <si>
    <t>$2,614.72</t>
  </si>
  <si>
    <t>540-BCXX</t>
  </si>
  <si>
    <t>Intel E810-XXV 25GbE SFP28 Dual Port PCIe Low Profile Customer Kit</t>
  </si>
  <si>
    <t>$735.28</t>
  </si>
  <si>
    <t>540-BCYL</t>
  </si>
  <si>
    <t>Intel E810-XXV Dual Port 25GbE, SFP28 PCIe Adapter, Full Height Customer Kit</t>
  </si>
  <si>
    <t>540-BDEE</t>
  </si>
  <si>
    <t>Broadcom 57508 Dual Port 100GbE QSFP Adapter, PCIe Low Profile, Customer Kit</t>
  </si>
  <si>
    <t>$2,223.21</t>
  </si>
  <si>
    <t>540-BDGZ</t>
  </si>
  <si>
    <t>Broadcom 57414 Dual Port 10/25GbE SFP28 Adapter, rNDC, Customer Kit, V2</t>
  </si>
  <si>
    <t>$633.34</t>
  </si>
  <si>
    <t>540-BDHJ</t>
  </si>
  <si>
    <t>Broadcom 57416 Dual Port 10GbE Base-T + 5720 Dual Port 1GbE Base-T Adapter, rNDC, Customer Kit, V2</t>
  </si>
  <si>
    <t>$780.83</t>
  </si>
  <si>
    <t>540-BDHM</t>
  </si>
  <si>
    <t>QLogic 2772 Dual Port 32GbE Fibre Channel HBA, PCIe Low Profile, Customer Kit, V2</t>
  </si>
  <si>
    <t>$4,444.27</t>
  </si>
  <si>
    <t>540-BDHY</t>
  </si>
  <si>
    <t>Broadcom 57414 Dual Port 10/25GbE SFP28 Adapter, PCIe Full Height, Customer Kit, V2</t>
  </si>
  <si>
    <t>$802.52</t>
  </si>
  <si>
    <t>540-BDID</t>
  </si>
  <si>
    <t>Broadcom 57414 Dual Port 10/25GbE SFP28 Adapter, PCIe Low Profile, Customer Kit, V2</t>
  </si>
  <si>
    <t>540-BDJD</t>
  </si>
  <si>
    <t>Nvidia ConnectX-6 Lx Dual Port 10/25GbE SFP28, No Crypto, PCIe Low Profile, Customer Kit</t>
  </si>
  <si>
    <t>$865.42</t>
  </si>
  <si>
    <t>540-BDJM</t>
  </si>
  <si>
    <t>Nvidia ConnectX-6 Lx Dual Port 10/25GbE SFP28, No Crypto, PCIe Full Height, Customer Kit</t>
  </si>
  <si>
    <t>540-BDJN</t>
  </si>
  <si>
    <t>Intel vRAN Accelerator ACC100 Adapter, PCIe Low Profile, Customer Kit</t>
  </si>
  <si>
    <t>$2,788.24</t>
  </si>
  <si>
    <t>540-BDKM</t>
  </si>
  <si>
    <t>QLogic 2770 Single Port 32Gb Fibre Channel HBA, PCIe Low Profile, Customer Kit</t>
  </si>
  <si>
    <t>$3,524.61</t>
  </si>
  <si>
    <t>540-BDKO</t>
  </si>
  <si>
    <t>QLogic 2770 Single Port 32Gb Fibre Channel HBA, PCIe Full Height, Customer Kit</t>
  </si>
  <si>
    <t>540-BDLI</t>
  </si>
  <si>
    <t>Broadcom 57454 Quad Port 10GbE BASE-T Adapter, PCIe Low Profile, Customer Kit</t>
  </si>
  <si>
    <t>$1,482.50</t>
  </si>
  <si>
    <t>540-BDLJ</t>
  </si>
  <si>
    <t>Broadcom 57454 Quad Port 10GbE BASE-T Adapter, PCIe Full Height, Customer Kit</t>
  </si>
  <si>
    <t>$1,419.60</t>
  </si>
  <si>
    <t>540-BDNS</t>
  </si>
  <si>
    <t>Emulex LPE36002 Dual Port FC64 Fibre Channel HBA, PCIe Low Profile, Customer Kit</t>
  </si>
  <si>
    <t>$4,766.37</t>
  </si>
  <si>
    <t>540-BDRR</t>
  </si>
  <si>
    <t>Emulex LPe36002 Dual Port FC64 Fibre Channel HBA, PCIe Full Height, Customer Kit</t>
  </si>
  <si>
    <t>540-BDSF</t>
  </si>
  <si>
    <t>Intel E810-XXVDA4 Quad Port 10/25GbE SFP28 Adapter, OCP NIC 3.0 (Kit)</t>
  </si>
  <si>
    <t>$932.66</t>
  </si>
  <si>
    <t>634-CCNT</t>
  </si>
  <si>
    <t>iDRAC9, Express 16G, Customer Kit</t>
  </si>
  <si>
    <t>$234.25</t>
  </si>
  <si>
    <t>338-CGNE</t>
  </si>
  <si>
    <t>AMD EPYC 9534 2.45GHz, 64C/128T, 256M Cache (280W) DDR5-4800</t>
  </si>
  <si>
    <t>$15,424.84</t>
  </si>
  <si>
    <t>338-CGWX</t>
  </si>
  <si>
    <t>AMD EPYC 9634 2.25GHz, 84C/168T, 384M Cache (290W) DDR5-4800</t>
  </si>
  <si>
    <t>$18,456.02</t>
  </si>
  <si>
    <t>338-CGWY</t>
  </si>
  <si>
    <t>AMD EPYC 9274F 4.05GHz, 24C/48T, 256M Cache (320W) DDR5-4800</t>
  </si>
  <si>
    <t>$7,141.43</t>
  </si>
  <si>
    <t>338-CGXB</t>
  </si>
  <si>
    <t>AMD EPYC 9654 2.40GHz, 96C/192T, 384M Cache (360W) DDR5-4800</t>
  </si>
  <si>
    <t>$20,873.37</t>
  </si>
  <si>
    <t>338-CGXC</t>
  </si>
  <si>
    <t>AMD EPYC 9554 3.10GHz, 64C/128T, 256M Cache (360W) DDR5-4800</t>
  </si>
  <si>
    <t>$16,874.82</t>
  </si>
  <si>
    <t>338-CGXD</t>
  </si>
  <si>
    <t>AMD EPYC 9374F 3.85GHz, 32C/64T, 256M Cache (320W) DDR5-4800</t>
  </si>
  <si>
    <t>$9,008.94</t>
  </si>
  <si>
    <t>338-CGXE</t>
  </si>
  <si>
    <t>AMD EPYC 9174F 4.10GHz, 16C/32T, 256M Cache (320W) DDR5-4800</t>
  </si>
  <si>
    <t>$6,042.83</t>
  </si>
  <si>
    <t>338-CGXG</t>
  </si>
  <si>
    <t>AMD EPYC 9224 2.50GHz, 24C/48T, 64M Cache (200W) DDR5-4800</t>
  </si>
  <si>
    <t>$3,647.17</t>
  </si>
  <si>
    <t>338-CGXN</t>
  </si>
  <si>
    <t>AMD EPYC 9354 3.25GHz, 32C/64T, 256M Cache (280W) DDR5-4800</t>
  </si>
  <si>
    <t>$6,921.28</t>
  </si>
  <si>
    <t>338-CGXO</t>
  </si>
  <si>
    <t>AMD EPYC 9474F 3.60GHz, 48C/96T, 256M Cache (360W) DDR5-4800</t>
  </si>
  <si>
    <t>$12,853.49</t>
  </si>
  <si>
    <t>338-CGXU</t>
  </si>
  <si>
    <t>AMD EPYC 9334 2.70GHz, 32C/64T, 128M Cache (210W) DDR5-4800</t>
  </si>
  <si>
    <t>$6,206.59</t>
  </si>
  <si>
    <t>338-CGXV</t>
  </si>
  <si>
    <t>AMD EPYC 9454 2.75GHz, 48C/96T, 256M Cache (290W) DDR5-4800</t>
  </si>
  <si>
    <t>$11,183.36</t>
  </si>
  <si>
    <t>338-CGXZ</t>
  </si>
  <si>
    <t>AMD EPYC 9124 3.0GHz, 16C/32T, 64M Cache (200W) DDR5-4800</t>
  </si>
  <si>
    <t>$2,340.35</t>
  </si>
  <si>
    <t>338-CKKB</t>
  </si>
  <si>
    <t>AMD EPYC 9254 2.90GHz, 24C/48T, 128M Cache (200W) DDR5-4800</t>
  </si>
  <si>
    <t>$4,537.55</t>
  </si>
  <si>
    <t>338-CMDL</t>
  </si>
  <si>
    <t>AMD EPYC 9734 2.2GHz, 112C/224T, 256M Cache (340W) DDR5-4800</t>
  </si>
  <si>
    <t>$18,127.42</t>
  </si>
  <si>
    <t>338-CMDM</t>
  </si>
  <si>
    <t>AMD EPYC 9754 2.25GHz, 128C/256T, 256M Cache (360W) DDR5-4800</t>
  </si>
  <si>
    <t>$21,971.97</t>
  </si>
  <si>
    <t>338-CMRW</t>
  </si>
  <si>
    <t>AMD EPYC 9684X 2.55GHz, 96C/192T, 1150M Cache (400W) DDR5-4800</t>
  </si>
  <si>
    <t>$25,366.46</t>
  </si>
  <si>
    <t>370-AGZM</t>
  </si>
  <si>
    <t>128GB RDIMM, 4800MT/s Quad Rank</t>
  </si>
  <si>
    <t>$4,880.25</t>
  </si>
  <si>
    <t>370-AGZO</t>
  </si>
  <si>
    <t>16GB RDIMM, 4800MT/s Single Rank</t>
  </si>
  <si>
    <t>$468.50</t>
  </si>
  <si>
    <t>370-AGZP</t>
  </si>
  <si>
    <t>32GB RDIMM, 4800MT/s Dual Rank</t>
  </si>
  <si>
    <t>$871.94</t>
  </si>
  <si>
    <t>370-AGZR</t>
  </si>
  <si>
    <t>64GB RDIMM, 4800MT/s Dual Rank</t>
  </si>
  <si>
    <t>$1,605.06</t>
  </si>
  <si>
    <t>370-AHCO</t>
  </si>
  <si>
    <t>256GB RDIMM, 4800MT/s Octo Rank</t>
  </si>
  <si>
    <t>$14,640.75</t>
  </si>
  <si>
    <t>Country List</t>
  </si>
  <si>
    <t xml:space="preserve">Region </t>
  </si>
  <si>
    <t>Country</t>
  </si>
  <si>
    <t>Fufillment Capabilities</t>
  </si>
  <si>
    <t xml:space="preserve">Web  ordering capabilities </t>
  </si>
  <si>
    <t>Delivery terms</t>
  </si>
  <si>
    <t>International Freight &amp; Insurance Cost</t>
  </si>
  <si>
    <r>
      <t xml:space="preserve">Regional Uplifts </t>
    </r>
    <r>
      <rPr>
        <b/>
        <sz val="9"/>
        <rFont val="Arial"/>
        <family val="2"/>
      </rPr>
      <t>(Indicative for indirect countries)</t>
    </r>
  </si>
  <si>
    <t>Indicative Import Duties</t>
  </si>
  <si>
    <t>Indicative VAT and Sales Taxes</t>
  </si>
  <si>
    <t>Delivery Time in total
(Indicative for indirect countries)</t>
  </si>
  <si>
    <t>order
concept</t>
  </si>
  <si>
    <t>SLA
contact</t>
  </si>
  <si>
    <t>Comments</t>
  </si>
  <si>
    <t>direct/indirect</t>
  </si>
  <si>
    <t>(Direct only - Yes/No)</t>
  </si>
  <si>
    <t>(acc. INCOTERMS 2000)</t>
  </si>
  <si>
    <t>Indicative for South America,  Middle East and Asia</t>
  </si>
  <si>
    <t>NEW COLUMN</t>
  </si>
  <si>
    <t>in %</t>
  </si>
  <si>
    <t>in working days</t>
  </si>
  <si>
    <t>LtL or GtL or booth</t>
  </si>
  <si>
    <t>regional telephone number</t>
  </si>
  <si>
    <t xml:space="preserve">1. Western Europe </t>
  </si>
  <si>
    <t>1.1</t>
  </si>
  <si>
    <t>Andorra</t>
  </si>
  <si>
    <t>1.2</t>
  </si>
  <si>
    <t xml:space="preserve">Austria </t>
  </si>
  <si>
    <t>Direct</t>
  </si>
  <si>
    <t>Yes</t>
  </si>
  <si>
    <t>DDP</t>
  </si>
  <si>
    <t>LtL</t>
  </si>
  <si>
    <t>1.3</t>
  </si>
  <si>
    <t xml:space="preserve">Belgium </t>
  </si>
  <si>
    <t>1.4</t>
  </si>
  <si>
    <t>British Virgin Islands</t>
  </si>
  <si>
    <t>1.5</t>
  </si>
  <si>
    <t xml:space="preserve">Cyprus </t>
  </si>
  <si>
    <t>InDirect</t>
  </si>
  <si>
    <t>Confirmed by distributor</t>
  </si>
  <si>
    <t>22 to 24</t>
  </si>
  <si>
    <t>Distributor List EMEA</t>
  </si>
  <si>
    <t>1.6</t>
  </si>
  <si>
    <t xml:space="preserve">Denmark </t>
  </si>
  <si>
    <t>1.7</t>
  </si>
  <si>
    <t>Finland</t>
  </si>
  <si>
    <t>1.8</t>
  </si>
  <si>
    <t xml:space="preserve">France </t>
  </si>
  <si>
    <t>1.9</t>
  </si>
  <si>
    <t xml:space="preserve">Germany </t>
  </si>
  <si>
    <t>1.10</t>
  </si>
  <si>
    <t xml:space="preserve">Greece </t>
  </si>
  <si>
    <t>1.11</t>
  </si>
  <si>
    <t xml:space="preserve">Ireland </t>
  </si>
  <si>
    <t>1.12</t>
  </si>
  <si>
    <t xml:space="preserve">Italy </t>
  </si>
  <si>
    <t>1.13</t>
  </si>
  <si>
    <t xml:space="preserve">Luxemburg </t>
  </si>
  <si>
    <t>1.14</t>
  </si>
  <si>
    <t xml:space="preserve">Netherlands </t>
  </si>
  <si>
    <t>1.15</t>
  </si>
  <si>
    <t xml:space="preserve">Norway </t>
  </si>
  <si>
    <t>1.16</t>
  </si>
  <si>
    <t xml:space="preserve">Portugal </t>
  </si>
  <si>
    <t>1.17</t>
  </si>
  <si>
    <t xml:space="preserve">Sweden </t>
  </si>
  <si>
    <t>1.18</t>
  </si>
  <si>
    <t xml:space="preserve">Spain </t>
  </si>
  <si>
    <t>1.19</t>
  </si>
  <si>
    <t xml:space="preserve">Switzerland </t>
  </si>
  <si>
    <t>1.20</t>
  </si>
  <si>
    <t>Turkey</t>
  </si>
  <si>
    <t>1.21</t>
  </si>
  <si>
    <t xml:space="preserve">United Kingdom </t>
  </si>
  <si>
    <t xml:space="preserve">2. Eastern Europe </t>
  </si>
  <si>
    <t>2.1</t>
  </si>
  <si>
    <t xml:space="preserve">Czech Republic </t>
  </si>
  <si>
    <t>2.2</t>
  </si>
  <si>
    <t>Bosnia and Herzegovina</t>
  </si>
  <si>
    <t>Indirect</t>
  </si>
  <si>
    <t>2.3</t>
  </si>
  <si>
    <t xml:space="preserve">Bulgaria </t>
  </si>
  <si>
    <t>2.4</t>
  </si>
  <si>
    <t xml:space="preserve">Croatia </t>
  </si>
  <si>
    <t>Kn 0</t>
  </si>
  <si>
    <t>2.5</t>
  </si>
  <si>
    <t>Estonia</t>
  </si>
  <si>
    <t>2.6</t>
  </si>
  <si>
    <t xml:space="preserve">Hungary </t>
  </si>
  <si>
    <t>2.7</t>
  </si>
  <si>
    <t xml:space="preserve">Poland </t>
  </si>
  <si>
    <t>2.8</t>
  </si>
  <si>
    <t xml:space="preserve">Romania </t>
  </si>
  <si>
    <t>2.9</t>
  </si>
  <si>
    <t xml:space="preserve">Russian Federation </t>
  </si>
  <si>
    <t>2.10</t>
  </si>
  <si>
    <t>Serbia</t>
  </si>
  <si>
    <t>TBA</t>
  </si>
  <si>
    <t>2.11</t>
  </si>
  <si>
    <t>Slovakia</t>
  </si>
  <si>
    <t xml:space="preserve">3. North America </t>
  </si>
  <si>
    <t>3.1</t>
  </si>
  <si>
    <t>Canada</t>
  </si>
  <si>
    <t>3.2</t>
  </si>
  <si>
    <t>Mexico</t>
  </si>
  <si>
    <t>3.3</t>
  </si>
  <si>
    <t>USA</t>
  </si>
  <si>
    <t>Local state taxes</t>
  </si>
  <si>
    <t xml:space="preserve">4. South America </t>
  </si>
  <si>
    <t>4.1</t>
  </si>
  <si>
    <t xml:space="preserve">Argentina </t>
  </si>
  <si>
    <t>$210 - $300</t>
  </si>
  <si>
    <t>4.2</t>
  </si>
  <si>
    <t xml:space="preserve">Brazil </t>
  </si>
  <si>
    <t>multi</t>
  </si>
  <si>
    <t>multi rate</t>
  </si>
  <si>
    <t>4.3</t>
  </si>
  <si>
    <t xml:space="preserve">Chile </t>
  </si>
  <si>
    <t>approx $120 (charge is calculated per kg)</t>
  </si>
  <si>
    <t>4.4</t>
  </si>
  <si>
    <t xml:space="preserve">Colombia </t>
  </si>
  <si>
    <t>4.5</t>
  </si>
  <si>
    <t>Ecuador</t>
  </si>
  <si>
    <t>4.6</t>
  </si>
  <si>
    <t>Peru</t>
  </si>
  <si>
    <t>4.7</t>
  </si>
  <si>
    <t xml:space="preserve">Venezuela </t>
  </si>
  <si>
    <t xml:space="preserve">5. Middle East &amp; Africa </t>
  </si>
  <si>
    <t>5.1</t>
  </si>
  <si>
    <t xml:space="preserve">Burkina Faso </t>
  </si>
  <si>
    <t>5.2</t>
  </si>
  <si>
    <t xml:space="preserve">Cameroon </t>
  </si>
  <si>
    <t>5.3</t>
  </si>
  <si>
    <t>Dubai</t>
  </si>
  <si>
    <t>5.4</t>
  </si>
  <si>
    <t xml:space="preserve">Egypt </t>
  </si>
  <si>
    <t>5.5</t>
  </si>
  <si>
    <t>Israel</t>
  </si>
  <si>
    <t>5.6</t>
  </si>
  <si>
    <t xml:space="preserve">Ivory Coast (Cote d'Ivoire) </t>
  </si>
  <si>
    <t>5.7</t>
  </si>
  <si>
    <t>Kenya</t>
  </si>
  <si>
    <t>5.8</t>
  </si>
  <si>
    <t>Kuwait</t>
  </si>
  <si>
    <t>5.9</t>
  </si>
  <si>
    <t>Lebanon</t>
  </si>
  <si>
    <t>5.10</t>
  </si>
  <si>
    <t>Libyan</t>
  </si>
  <si>
    <t>TBD</t>
  </si>
  <si>
    <t>5.11</t>
  </si>
  <si>
    <t>Morocco</t>
  </si>
  <si>
    <t>5.12</t>
  </si>
  <si>
    <t>Nigeria</t>
  </si>
  <si>
    <t>5.13</t>
  </si>
  <si>
    <t>Saudi Arabia</t>
  </si>
  <si>
    <t>5.14</t>
  </si>
  <si>
    <t xml:space="preserve">Senegal </t>
  </si>
  <si>
    <t>5.15</t>
  </si>
  <si>
    <t xml:space="preserve">South Africa </t>
  </si>
  <si>
    <t>$165</t>
  </si>
  <si>
    <t>5.16</t>
  </si>
  <si>
    <t>Tunisia</t>
  </si>
  <si>
    <t>5.17</t>
  </si>
  <si>
    <t xml:space="preserve">U.A.E. </t>
  </si>
  <si>
    <t xml:space="preserve">6. Asia/Pacific </t>
  </si>
  <si>
    <t>6.1</t>
  </si>
  <si>
    <t>Afghanistan</t>
  </si>
  <si>
    <t>6.2</t>
  </si>
  <si>
    <t>Aserbajan</t>
  </si>
  <si>
    <t>6.3</t>
  </si>
  <si>
    <t xml:space="preserve">Australia </t>
  </si>
  <si>
    <t>6.4</t>
  </si>
  <si>
    <t>Bangladesh</t>
  </si>
  <si>
    <t>Distributor List APAC</t>
  </si>
  <si>
    <t>6.5</t>
  </si>
  <si>
    <t>China</t>
  </si>
  <si>
    <t>6.6</t>
  </si>
  <si>
    <t xml:space="preserve">Hong Kong </t>
  </si>
  <si>
    <t>6.7</t>
  </si>
  <si>
    <t xml:space="preserve">India </t>
  </si>
  <si>
    <t>6.8</t>
  </si>
  <si>
    <t xml:space="preserve">Indonesia </t>
  </si>
  <si>
    <t>6.9</t>
  </si>
  <si>
    <t xml:space="preserve">Japan </t>
  </si>
  <si>
    <t>6.10</t>
  </si>
  <si>
    <t>Kazakhstan</t>
  </si>
  <si>
    <t>6.11</t>
  </si>
  <si>
    <t xml:space="preserve">Laos </t>
  </si>
  <si>
    <t>6.12</t>
  </si>
  <si>
    <t xml:space="preserve">Malaysia </t>
  </si>
  <si>
    <t>6.13</t>
  </si>
  <si>
    <t xml:space="preserve">New Zealand </t>
  </si>
  <si>
    <t>6.14</t>
  </si>
  <si>
    <t xml:space="preserve">Pakistan </t>
  </si>
  <si>
    <t>6.15</t>
  </si>
  <si>
    <t>Philippines</t>
  </si>
  <si>
    <t>6.16</t>
  </si>
  <si>
    <t xml:space="preserve">Singapore </t>
  </si>
  <si>
    <t>6.17</t>
  </si>
  <si>
    <t xml:space="preserve">South Korea </t>
  </si>
  <si>
    <t>6.18</t>
  </si>
  <si>
    <t xml:space="preserve">Taiwan </t>
  </si>
  <si>
    <t>6.19</t>
  </si>
  <si>
    <t xml:space="preserve">Thailand </t>
  </si>
  <si>
    <t>6.20</t>
  </si>
  <si>
    <t xml:space="preserve">Vietnam </t>
  </si>
  <si>
    <t>Last Updated: 020725 -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</si>
</sst>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41" formatCode="_-* #,##0_-;\-* #,##0_-;_-* &quot;-&quot;_-;_-@_-"/>
    <numFmt numFmtId="164" formatCode="_ &quot;€&quot;\ * #,##0.00_ ;_ &quot;€&quot;\ * \-#,##0.00_ ;_ &quot;€&quot;\ * &quot;-&quot;??_ ;_ @_ "/>
    <numFmt numFmtId="165" formatCode="_ * #,##0.00_ ;_ * \-#,##0.00_ ;_ * &quot;-&quot;??_ ;_ @_ "/>
    <numFmt numFmtId="166" formatCode="_(* #,##0.00_);_(* \(#,##0.00\);_(* &quot;-&quot;??_);_(@_)"/>
    <numFmt numFmtId="167" formatCode="_-* #,##0.00\ [$€-1]_-;\-* #,##0.00\ [$€-1]_-;_-* &quot;-&quot;??\ [$€-1]_-"/>
    <numFmt numFmtId="168" formatCode="[$-409]d\-mmm\-yyyy;@"/>
    <numFmt numFmtId="169" formatCode="_-* #,##0.00\ _€_-;\-* #,##0.00\ _€_-;_-* &quot;-&quot;??\ _€_-;_-@_-"/>
    <numFmt numFmtId="170" formatCode="#,##0.00###"/>
    <numFmt numFmtId="171" formatCode="dd\.\ mmm\ yyyy\ hh:mm"/>
    <numFmt numFmtId="172" formatCode="0.00\ &quot;min&quot;"/>
    <numFmt numFmtId="173" formatCode="&quot;Disabled&quot;;&quot;Enabled&quot;"/>
    <numFmt numFmtId="174" formatCode="&quot;No&quot;;&quot;Yes&quot;"/>
    <numFmt numFmtId="175" formatCode="_(&quot;$&quot;* #,##0.00_);_(&quot;$&quot;* \(#,##0.00\);_(&quot;$&quot;* &quot;-&quot;??_);_(@_)"/>
    <numFmt numFmtId="176" formatCode="_-* #,##0.00\ &quot;€&quot;_-;\-* #,##0.00\ &quot;€&quot;_-;_-* &quot;-&quot;??\ &quot;€&quot;_-;_-@_-"/>
    <numFmt numFmtId="177" formatCode="[$€-2]\ #,##0"/>
    <numFmt numFmtId="178" formatCode="[$kr-406]\ #,##0"/>
    <numFmt numFmtId="179" formatCode="[$kr-814]\ #,##0"/>
    <numFmt numFmtId="180" formatCode="#,##0\ [$kr-41D]"/>
    <numFmt numFmtId="181" formatCode="[$SFr.-100C]\ #,##0"/>
    <numFmt numFmtId="182" formatCode="&quot;£&quot;#,##0"/>
    <numFmt numFmtId="183" formatCode="#,##0\ [$Kč-405]"/>
    <numFmt numFmtId="184" formatCode="#,##0\ [$zł-415]"/>
    <numFmt numFmtId="185" formatCode="[$$-409]#,##0"/>
    <numFmt numFmtId="186" formatCode="#,##0.00\ &quot;€&quot;"/>
    <numFmt numFmtId="187" formatCode="[$$-409]#,##0.00"/>
    <numFmt numFmtId="188" formatCode="_ * #,##0_ ;_ * \(#,##0\)_ ;_ * &quot;-&quot;??_ ;_ @_ "/>
    <numFmt numFmtId="189" formatCode="&quot;$&quot;#,##0_);[Red]\(&quot;$&quot;#,##0\)"/>
    <numFmt numFmtId="190" formatCode="&quot;$&quot;#,##0.00"/>
    <numFmt numFmtId="191" formatCode="0.0%"/>
    <numFmt numFmtId="192" formatCode="[$€-2]\ #,##0.00"/>
    <numFmt numFmtId="193" formatCode="_-[$€-2]\ * #,##0.00_-;\-[$€-2]\ * #,##0.00_-;_-[$€-2]\ * &quot;-&quot;??_-;_-@_-"/>
  </numFmts>
  <fonts count="10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Arial"/>
      <family val="2"/>
    </font>
    <font>
      <b/>
      <sz val="16"/>
      <color theme="0"/>
      <name val="Arial"/>
      <family val="2"/>
    </font>
    <font>
      <sz val="10"/>
      <name val="Arial"/>
      <family val="2"/>
    </font>
    <font>
      <sz val="11"/>
      <color theme="1"/>
      <name val="Calibri"/>
      <family val="2"/>
      <scheme val="minor"/>
    </font>
    <font>
      <b/>
      <sz val="11"/>
      <color theme="1"/>
      <name val="Calibri"/>
      <family val="2"/>
      <scheme val="minor"/>
    </font>
    <font>
      <b/>
      <sz val="10"/>
      <name val="Arial"/>
      <family val="2"/>
    </font>
    <font>
      <u/>
      <sz val="10"/>
      <color indexed="12"/>
      <name val="Arial"/>
      <family val="2"/>
    </font>
    <font>
      <sz val="10"/>
      <name val="Arial"/>
      <family val="2"/>
    </font>
    <font>
      <sz val="10"/>
      <color theme="1"/>
      <name val="Arial"/>
      <family val="2"/>
    </font>
    <font>
      <b/>
      <sz val="10"/>
      <color theme="0"/>
      <name val="Arial"/>
      <family val="2"/>
    </font>
    <font>
      <sz val="10"/>
      <color indexed="8"/>
      <name val="Arial"/>
      <family val="2"/>
    </font>
    <font>
      <i/>
      <sz val="10"/>
      <name val="Arial"/>
      <family val="2"/>
    </font>
    <font>
      <b/>
      <sz val="11"/>
      <color indexed="18"/>
      <name val="Calibri"/>
      <family val="2"/>
      <scheme val="minor"/>
    </font>
    <font>
      <b/>
      <sz val="11"/>
      <color indexed="10"/>
      <name val="Calibri"/>
      <family val="2"/>
      <scheme val="minor"/>
    </font>
    <font>
      <b/>
      <sz val="14"/>
      <color indexed="18"/>
      <name val="Calibri"/>
      <family val="2"/>
      <scheme val="minor"/>
    </font>
    <font>
      <b/>
      <sz val="12"/>
      <name val="Arial"/>
      <family val="2"/>
    </font>
    <font>
      <u/>
      <sz val="10"/>
      <color theme="10"/>
      <name val="Arial"/>
      <family val="2"/>
    </font>
    <font>
      <b/>
      <i/>
      <sz val="14"/>
      <color indexed="10"/>
      <name val="Arial"/>
      <family val="2"/>
    </font>
    <font>
      <sz val="10"/>
      <name val="Helv"/>
      <family val="2"/>
    </font>
    <font>
      <sz val="11"/>
      <name val="Arial"/>
      <family val="2"/>
    </font>
    <font>
      <sz val="10"/>
      <name val="Helv"/>
      <charset val="204"/>
    </font>
    <font>
      <sz val="8"/>
      <name val="Arial"/>
      <family val="2"/>
    </font>
    <font>
      <sz val="10"/>
      <name val="Helv"/>
    </font>
    <font>
      <i/>
      <sz val="9"/>
      <name val="Arial"/>
      <family val="2"/>
    </font>
    <font>
      <sz val="9"/>
      <name val="Arial"/>
      <family val="2"/>
    </font>
    <font>
      <sz val="10"/>
      <color indexed="9"/>
      <name val="Arial"/>
      <family val="2"/>
    </font>
    <font>
      <b/>
      <sz val="10"/>
      <color indexed="63"/>
      <name val="Arial"/>
      <family val="2"/>
    </font>
    <font>
      <b/>
      <sz val="10"/>
      <color indexed="52"/>
      <name val="Arial"/>
      <family val="2"/>
    </font>
    <font>
      <b/>
      <sz val="11"/>
      <color indexed="8"/>
      <name val="Calibri"/>
      <family val="2"/>
    </font>
    <font>
      <b/>
      <sz val="11"/>
      <color indexed="18"/>
      <name val="Calibri"/>
      <family val="2"/>
    </font>
    <font>
      <b/>
      <sz val="10"/>
      <color indexed="18"/>
      <name val="Arial"/>
      <family val="2"/>
    </font>
    <font>
      <sz val="10"/>
      <color indexed="62"/>
      <name val="Arial"/>
      <family val="2"/>
    </font>
    <font>
      <b/>
      <sz val="10"/>
      <color indexed="8"/>
      <name val="Arial"/>
      <family val="2"/>
    </font>
    <font>
      <i/>
      <sz val="10"/>
      <color indexed="23"/>
      <name val="Arial"/>
      <family val="2"/>
    </font>
    <font>
      <sz val="10"/>
      <color indexed="17"/>
      <name val="Arial"/>
      <family val="2"/>
    </font>
    <font>
      <b/>
      <sz val="11"/>
      <color indexed="10"/>
      <name val="Calibri"/>
      <family val="2"/>
    </font>
    <font>
      <b/>
      <sz val="10"/>
      <color indexed="10"/>
      <name val="Arial"/>
      <family val="2"/>
    </font>
    <font>
      <u/>
      <sz val="8.25"/>
      <color indexed="12"/>
      <name val="Arial"/>
      <family val="2"/>
    </font>
    <font>
      <sz val="9"/>
      <color indexed="23"/>
      <name val="Arial"/>
      <family val="2"/>
    </font>
    <font>
      <u/>
      <sz val="11"/>
      <color theme="10"/>
      <name val="Calibri"/>
      <family val="2"/>
      <scheme val="minor"/>
    </font>
    <font>
      <b/>
      <sz val="8"/>
      <color indexed="81"/>
      <name val="Tahoma"/>
      <family val="2"/>
    </font>
    <font>
      <sz val="11"/>
      <color indexed="8"/>
      <name val="Calibri"/>
      <family val="2"/>
    </font>
    <font>
      <sz val="10"/>
      <name val="Verdana"/>
      <family val="2"/>
    </font>
    <font>
      <b/>
      <sz val="10"/>
      <name val="Verdana"/>
      <family val="2"/>
    </font>
    <font>
      <b/>
      <sz val="8"/>
      <name val="Arial"/>
      <family val="2"/>
    </font>
    <font>
      <sz val="7"/>
      <color indexed="10"/>
      <name val="MS Sans Serif"/>
      <family val="2"/>
    </font>
    <font>
      <sz val="10"/>
      <color indexed="39"/>
      <name val="Arial"/>
      <family val="2"/>
    </font>
    <font>
      <b/>
      <sz val="12"/>
      <color indexed="8"/>
      <name val="Arial"/>
      <family val="2"/>
    </font>
    <font>
      <b/>
      <sz val="16"/>
      <color indexed="23"/>
      <name val="Arial"/>
      <family val="2"/>
    </font>
    <font>
      <sz val="10"/>
      <color indexed="10"/>
      <name val="Arial"/>
      <family val="2"/>
    </font>
    <font>
      <sz val="10"/>
      <color indexed="20"/>
      <name val="Arial"/>
      <family val="2"/>
    </font>
    <font>
      <b/>
      <sz val="14"/>
      <color indexed="18"/>
      <name val="Calibri"/>
      <family val="2"/>
    </font>
    <font>
      <b/>
      <sz val="14"/>
      <color indexed="18"/>
      <name val="Arial"/>
      <family val="2"/>
    </font>
    <font>
      <b/>
      <sz val="18"/>
      <color indexed="56"/>
      <name val="Cambria"/>
      <family val="2"/>
    </font>
    <font>
      <b/>
      <sz val="15"/>
      <color indexed="56"/>
      <name val="Arial"/>
      <family val="2"/>
    </font>
    <font>
      <b/>
      <sz val="13"/>
      <color indexed="56"/>
      <name val="Arial"/>
      <family val="2"/>
    </font>
    <font>
      <b/>
      <sz val="11"/>
      <color indexed="56"/>
      <name val="Arial"/>
      <family val="2"/>
    </font>
    <font>
      <sz val="10"/>
      <color indexed="52"/>
      <name val="Arial"/>
      <family val="2"/>
    </font>
    <font>
      <b/>
      <sz val="10"/>
      <color indexed="9"/>
      <name val="Arial"/>
      <family val="2"/>
    </font>
    <font>
      <b/>
      <sz val="9"/>
      <name val="Arial"/>
      <family val="2"/>
    </font>
    <font>
      <u/>
      <sz val="10"/>
      <color rgb="FF0000FF"/>
      <name val="Arial"/>
      <family val="2"/>
    </font>
    <font>
      <sz val="11"/>
      <color indexed="10"/>
      <name val="Calibri"/>
      <family val="2"/>
      <scheme val="minor"/>
    </font>
    <font>
      <sz val="10"/>
      <color indexed="12"/>
      <name val="Arial"/>
      <family val="2"/>
    </font>
    <font>
      <sz val="10"/>
      <color rgb="FF006100"/>
      <name val="Arial"/>
      <family val="2"/>
    </font>
    <font>
      <sz val="10"/>
      <color rgb="FF9C0006"/>
      <name val="Arial"/>
      <family val="2"/>
    </font>
    <font>
      <b/>
      <sz val="11"/>
      <color rgb="FF000000"/>
      <name val="Calibri"/>
      <family val="2"/>
    </font>
    <font>
      <sz val="11"/>
      <color theme="1"/>
      <name val="Calibri"/>
      <family val="2"/>
      <charset val="238"/>
      <scheme val="minor"/>
    </font>
    <font>
      <sz val="10"/>
      <name val="MS Sans Serif"/>
      <family val="2"/>
      <charset val="238"/>
    </font>
    <font>
      <sz val="10"/>
      <name val="Arial"/>
      <family val="2"/>
    </font>
    <font>
      <sz val="10"/>
      <name val="Arial"/>
      <family val="2"/>
    </font>
    <font>
      <b/>
      <sz val="16"/>
      <color rgb="FFFF0000"/>
      <name val="Calibri"/>
      <family val="2"/>
      <scheme val="minor"/>
    </font>
    <font>
      <b/>
      <sz val="14"/>
      <color rgb="FF000000"/>
      <name val="Calibri"/>
      <family val="2"/>
    </font>
    <font>
      <b/>
      <i/>
      <sz val="10"/>
      <name val="Arial"/>
      <family val="2"/>
    </font>
    <font>
      <b/>
      <i/>
      <u/>
      <sz val="10"/>
      <color indexed="8"/>
      <name val="Arial"/>
      <family val="2"/>
    </font>
    <font>
      <b/>
      <u/>
      <sz val="10"/>
      <color indexed="8"/>
      <name val="Arial"/>
      <family val="2"/>
    </font>
    <font>
      <sz val="10"/>
      <color indexed="8"/>
      <name val="Arial Narrow"/>
      <family val="2"/>
    </font>
    <font>
      <sz val="10"/>
      <color theme="1"/>
      <name val="Museo For Dell"/>
    </font>
    <font>
      <sz val="11"/>
      <color rgb="FF000000"/>
      <name val="Calibri"/>
      <family val="2"/>
    </font>
    <font>
      <sz val="11"/>
      <color rgb="FF000000"/>
      <name val="Arial"/>
      <family val="2"/>
    </font>
    <font>
      <sz val="7"/>
      <color rgb="FF000000"/>
      <name val="Calibri"/>
      <family val="2"/>
    </font>
    <font>
      <sz val="11"/>
      <color rgb="FF252525"/>
      <name val="Calibri"/>
      <family val="2"/>
    </font>
    <font>
      <sz val="11"/>
      <color theme="1"/>
      <name val="Aptos"/>
      <family val="2"/>
    </font>
    <font>
      <sz val="11"/>
      <name val="Calibri"/>
      <family val="2"/>
    </font>
    <font>
      <b/>
      <sz val="14"/>
      <color theme="1"/>
      <name val="Calibri"/>
      <family val="2"/>
      <scheme val="minor"/>
    </font>
    <font>
      <b/>
      <sz val="14"/>
      <name val="Calibri"/>
      <family val="2"/>
      <scheme val="minor"/>
    </font>
    <font>
      <b/>
      <sz val="14"/>
      <color theme="1"/>
      <name val="Calibri"/>
      <family val="2"/>
    </font>
    <font>
      <b/>
      <sz val="11"/>
      <color indexed="8"/>
      <name val="Arial"/>
      <family val="2"/>
    </font>
    <font>
      <b/>
      <u/>
      <sz val="11"/>
      <color indexed="8"/>
      <name val="Arial"/>
      <family val="2"/>
    </font>
    <font>
      <sz val="11"/>
      <color indexed="8"/>
      <name val="Arial Narrow"/>
      <family val="2"/>
    </font>
    <font>
      <sz val="11"/>
      <color indexed="8"/>
      <name val="Arial"/>
      <family val="2"/>
    </font>
    <font>
      <sz val="11"/>
      <color theme="1"/>
      <name val="Arial Narrow"/>
      <family val="2"/>
    </font>
    <font>
      <sz val="11"/>
      <color theme="1"/>
      <name val="Arial"/>
      <family val="2"/>
    </font>
    <font>
      <sz val="11"/>
      <color rgb="FF000000"/>
      <name val="Aptos"/>
      <family val="2"/>
    </font>
    <font>
      <b/>
      <sz val="11"/>
      <color theme="3"/>
      <name val="Calibri"/>
      <family val="2"/>
      <scheme val="minor"/>
    </font>
  </fonts>
  <fills count="59">
    <fill>
      <patternFill patternType="none"/>
    </fill>
    <fill>
      <patternFill patternType="gray125"/>
    </fill>
    <fill>
      <patternFill patternType="solid">
        <fgColor indexed="44"/>
        <bgColor indexed="64"/>
      </patternFill>
    </fill>
    <fill>
      <patternFill patternType="solid">
        <fgColor indexed="4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55"/>
      </patternFill>
    </fill>
    <fill>
      <patternFill patternType="solid">
        <fgColor theme="4" tint="-0.499984740745262"/>
        <bgColor indexed="64"/>
      </patternFill>
    </fill>
    <fill>
      <patternFill patternType="solid">
        <fgColor indexed="9"/>
        <bgColor indexed="64"/>
      </patternFill>
    </fill>
    <fill>
      <patternFill patternType="solid">
        <fgColor indexed="27"/>
        <bgColor indexed="64"/>
      </patternFill>
    </fill>
    <fill>
      <patternFill patternType="solid">
        <fgColor rgb="FFCCFFFF"/>
        <bgColor indexed="64"/>
      </patternFill>
    </fill>
    <fill>
      <patternFill patternType="solid">
        <fgColor rgb="FFCCFFFF"/>
        <bgColor rgb="FF000000"/>
      </patternFill>
    </fill>
    <fill>
      <patternFill patternType="solid">
        <fgColor theme="3" tint="0.59999389629810485"/>
        <bgColor indexed="64"/>
      </patternFill>
    </fill>
    <fill>
      <patternFill patternType="solid">
        <fgColor indexed="30"/>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theme="3" tint="0.79998168889431442"/>
        <bgColor indexed="64"/>
      </patternFill>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
      <patternFill patternType="solid">
        <fgColor rgb="FFF2F2F4"/>
        <bgColor indexed="64"/>
      </patternFill>
    </fill>
  </fills>
  <borders count="8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thin">
        <color indexed="64"/>
      </left>
      <right style="thin">
        <color indexed="64"/>
      </right>
      <top/>
      <bottom/>
      <diagonal/>
    </border>
    <border>
      <left/>
      <right style="medium">
        <color indexed="64"/>
      </right>
      <top/>
      <bottom/>
      <diagonal/>
    </border>
    <border>
      <left style="thin">
        <color indexed="64"/>
      </left>
      <right style="medium">
        <color indexed="64"/>
      </right>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diagonalUp="1" diagonalDown="1">
      <left/>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4"/>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4"/>
      </top>
      <bottom style="thin">
        <color indexed="63"/>
      </bottom>
      <diagonal/>
    </border>
    <border>
      <left style="thin">
        <color indexed="64"/>
      </left>
      <right style="medium">
        <color indexed="64"/>
      </right>
      <top/>
      <bottom style="medium">
        <color indexed="64"/>
      </bottom>
      <diagonal/>
    </border>
    <border>
      <left style="thin">
        <color auto="1"/>
      </left>
      <right style="thin">
        <color auto="1"/>
      </right>
      <top style="thin">
        <color auto="1"/>
      </top>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auto="1"/>
      </left>
      <right style="thin">
        <color auto="1"/>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right style="thin">
        <color auto="1"/>
      </right>
      <top style="medium">
        <color indexed="64"/>
      </top>
      <bottom/>
      <diagonal/>
    </border>
    <border>
      <left style="thin">
        <color auto="1"/>
      </left>
      <right/>
      <top style="medium">
        <color indexed="64"/>
      </top>
      <bottom style="thin">
        <color auto="1"/>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s>
  <cellStyleXfs count="5083">
    <xf numFmtId="0" fontId="0" fillId="0" borderId="0"/>
    <xf numFmtId="0" fontId="13" fillId="0" borderId="0" applyNumberFormat="0" applyFill="0" applyBorder="0" applyAlignment="0" applyProtection="0">
      <alignment vertical="top"/>
      <protection locked="0"/>
    </xf>
    <xf numFmtId="0" fontId="9" fillId="0" borderId="0"/>
    <xf numFmtId="167" fontId="14" fillId="0" borderId="0"/>
    <xf numFmtId="0" fontId="10" fillId="0" borderId="0"/>
    <xf numFmtId="0" fontId="10" fillId="0" borderId="0"/>
    <xf numFmtId="167" fontId="9" fillId="0" borderId="0"/>
    <xf numFmtId="0" fontId="11" fillId="2" borderId="14">
      <alignment vertical="top" wrapText="1"/>
    </xf>
    <xf numFmtId="166" fontId="10" fillId="0" borderId="0" applyFont="0" applyFill="0" applyBorder="0" applyAlignment="0" applyProtection="0"/>
    <xf numFmtId="0" fontId="19" fillId="0" borderId="0"/>
    <xf numFmtId="0" fontId="11" fillId="2" borderId="14">
      <alignment horizontal="center" vertical="top" wrapText="1"/>
    </xf>
    <xf numFmtId="0" fontId="20" fillId="0" borderId="0"/>
    <xf numFmtId="0" fontId="9" fillId="0" borderId="0"/>
    <xf numFmtId="0" fontId="21" fillId="0" borderId="0"/>
    <xf numFmtId="0" fontId="9" fillId="0" borderId="0"/>
    <xf numFmtId="0" fontId="9" fillId="0" borderId="15" quotePrefix="1">
      <alignment horizontal="justify" vertical="justify" textRotation="127" wrapText="1" justifyLastLine="1"/>
      <protection hidden="1"/>
    </xf>
    <xf numFmtId="0" fontId="23" fillId="0" borderId="0" applyNumberFormat="0" applyFill="0" applyBorder="0" applyAlignment="0" applyProtection="0"/>
    <xf numFmtId="0" fontId="25" fillId="0" borderId="0"/>
    <xf numFmtId="0" fontId="26" fillId="0" borderId="0"/>
    <xf numFmtId="0" fontId="9" fillId="0" borderId="0"/>
    <xf numFmtId="167" fontId="9" fillId="0" borderId="0"/>
    <xf numFmtId="0" fontId="9" fillId="0" borderId="0"/>
    <xf numFmtId="167" fontId="9" fillId="0" borderId="0"/>
    <xf numFmtId="167" fontId="26" fillId="0" borderId="0"/>
    <xf numFmtId="0" fontId="26" fillId="0" borderId="0"/>
    <xf numFmtId="0" fontId="27" fillId="0" borderId="0"/>
    <xf numFmtId="167" fontId="27" fillId="0" borderId="0"/>
    <xf numFmtId="0" fontId="27" fillId="0" borderId="0"/>
    <xf numFmtId="167" fontId="27" fillId="0" borderId="0"/>
    <xf numFmtId="0" fontId="28" fillId="0" borderId="0"/>
    <xf numFmtId="167" fontId="28" fillId="0" borderId="0"/>
    <xf numFmtId="0" fontId="29" fillId="0" borderId="0"/>
    <xf numFmtId="167" fontId="29" fillId="0" borderId="0"/>
    <xf numFmtId="0" fontId="29" fillId="0" borderId="0"/>
    <xf numFmtId="167" fontId="29" fillId="0" borderId="0"/>
    <xf numFmtId="0" fontId="30" fillId="0" borderId="0"/>
    <xf numFmtId="167" fontId="30" fillId="0" borderId="0"/>
    <xf numFmtId="0" fontId="27" fillId="0" borderId="0"/>
    <xf numFmtId="167" fontId="27" fillId="0" borderId="0"/>
    <xf numFmtId="0" fontId="27" fillId="0" borderId="0"/>
    <xf numFmtId="167" fontId="27" fillId="0" borderId="0"/>
    <xf numFmtId="0" fontId="28" fillId="0" borderId="0"/>
    <xf numFmtId="167" fontId="28" fillId="0" borderId="0"/>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25" fillId="0" borderId="0"/>
    <xf numFmtId="0" fontId="27" fillId="0" borderId="0"/>
    <xf numFmtId="167" fontId="27" fillId="0" borderId="0"/>
    <xf numFmtId="0" fontId="27" fillId="0" borderId="0"/>
    <xf numFmtId="167" fontId="27" fillId="0" borderId="0"/>
    <xf numFmtId="0" fontId="28" fillId="0" borderId="0"/>
    <xf numFmtId="167" fontId="28" fillId="0" borderId="0"/>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27" fillId="0" borderId="0"/>
    <xf numFmtId="167" fontId="27" fillId="0" borderId="0"/>
    <xf numFmtId="0" fontId="25" fillId="0" borderId="0"/>
    <xf numFmtId="167" fontId="25" fillId="0" borderId="0"/>
    <xf numFmtId="0" fontId="25" fillId="0" borderId="0"/>
    <xf numFmtId="167" fontId="25" fillId="0" borderId="0"/>
    <xf numFmtId="0" fontId="31" fillId="0" borderId="0"/>
    <xf numFmtId="167" fontId="31" fillId="0" borderId="0"/>
    <xf numFmtId="0" fontId="25" fillId="0" borderId="0"/>
    <xf numFmtId="167" fontId="25" fillId="0" borderId="0"/>
    <xf numFmtId="0" fontId="25" fillId="0" borderId="0"/>
    <xf numFmtId="167" fontId="25" fillId="0" borderId="0"/>
    <xf numFmtId="0" fontId="31" fillId="0" borderId="0"/>
    <xf numFmtId="167" fontId="31" fillId="0" borderId="0"/>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27" fillId="0" borderId="0"/>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27" fillId="0" borderId="0"/>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17" fillId="4" borderId="0" applyNumberFormat="0" applyBorder="0" applyAlignment="0" applyProtection="0"/>
    <xf numFmtId="167" fontId="17" fillId="4" borderId="0" applyNumberFormat="0" applyBorder="0" applyAlignment="0" applyProtection="0"/>
    <xf numFmtId="0" fontId="17" fillId="5" borderId="0" applyNumberFormat="0" applyBorder="0" applyAlignment="0" applyProtection="0"/>
    <xf numFmtId="167" fontId="17" fillId="5" borderId="0" applyNumberFormat="0" applyBorder="0" applyAlignment="0" applyProtection="0"/>
    <xf numFmtId="0" fontId="17" fillId="6" borderId="0" applyNumberFormat="0" applyBorder="0" applyAlignment="0" applyProtection="0"/>
    <xf numFmtId="167" fontId="17" fillId="6" borderId="0" applyNumberFormat="0" applyBorder="0" applyAlignment="0" applyProtection="0"/>
    <xf numFmtId="0" fontId="17" fillId="7" borderId="0" applyNumberFormat="0" applyBorder="0" applyAlignment="0" applyProtection="0"/>
    <xf numFmtId="167" fontId="17" fillId="7" borderId="0" applyNumberFormat="0" applyBorder="0" applyAlignment="0" applyProtection="0"/>
    <xf numFmtId="0" fontId="17" fillId="8" borderId="0" applyNumberFormat="0" applyBorder="0" applyAlignment="0" applyProtection="0"/>
    <xf numFmtId="167" fontId="17" fillId="8" borderId="0" applyNumberFormat="0" applyBorder="0" applyAlignment="0" applyProtection="0"/>
    <xf numFmtId="0" fontId="17" fillId="9" borderId="0" applyNumberFormat="0" applyBorder="0" applyAlignment="0" applyProtection="0"/>
    <xf numFmtId="167" fontId="17" fillId="9" borderId="0" applyNumberFormat="0" applyBorder="0" applyAlignment="0" applyProtection="0"/>
    <xf numFmtId="0" fontId="17" fillId="10" borderId="0" applyNumberFormat="0" applyBorder="0" applyAlignment="0" applyProtection="0"/>
    <xf numFmtId="167" fontId="17" fillId="10" borderId="0" applyNumberFormat="0" applyBorder="0" applyAlignment="0" applyProtection="0"/>
    <xf numFmtId="0" fontId="17" fillId="11" borderId="0" applyNumberFormat="0" applyBorder="0" applyAlignment="0" applyProtection="0"/>
    <xf numFmtId="167" fontId="17" fillId="11" borderId="0" applyNumberFormat="0" applyBorder="0" applyAlignment="0" applyProtection="0"/>
    <xf numFmtId="0" fontId="17" fillId="12" borderId="0" applyNumberFormat="0" applyBorder="0" applyAlignment="0" applyProtection="0"/>
    <xf numFmtId="167" fontId="17" fillId="12" borderId="0" applyNumberFormat="0" applyBorder="0" applyAlignment="0" applyProtection="0"/>
    <xf numFmtId="0" fontId="17" fillId="7" borderId="0" applyNumberFormat="0" applyBorder="0" applyAlignment="0" applyProtection="0"/>
    <xf numFmtId="167" fontId="17" fillId="7" borderId="0" applyNumberFormat="0" applyBorder="0" applyAlignment="0" applyProtection="0"/>
    <xf numFmtId="0" fontId="17" fillId="10" borderId="0" applyNumberFormat="0" applyBorder="0" applyAlignment="0" applyProtection="0"/>
    <xf numFmtId="167" fontId="17" fillId="10" borderId="0" applyNumberFormat="0" applyBorder="0" applyAlignment="0" applyProtection="0"/>
    <xf numFmtId="0" fontId="17" fillId="13" borderId="0" applyNumberFormat="0" applyBorder="0" applyAlignment="0" applyProtection="0"/>
    <xf numFmtId="167" fontId="17" fillId="13" borderId="0" applyNumberFormat="0" applyBorder="0" applyAlignment="0" applyProtection="0"/>
    <xf numFmtId="0" fontId="32" fillId="14" borderId="0" applyNumberFormat="0" applyBorder="0" applyAlignment="0" applyProtection="0"/>
    <xf numFmtId="167" fontId="32" fillId="14" borderId="0" applyNumberFormat="0" applyBorder="0" applyAlignment="0" applyProtection="0"/>
    <xf numFmtId="0" fontId="32" fillId="11" borderId="0" applyNumberFormat="0" applyBorder="0" applyAlignment="0" applyProtection="0"/>
    <xf numFmtId="167" fontId="32" fillId="11" borderId="0" applyNumberFormat="0" applyBorder="0" applyAlignment="0" applyProtection="0"/>
    <xf numFmtId="0" fontId="32" fillId="12" borderId="0" applyNumberFormat="0" applyBorder="0" applyAlignment="0" applyProtection="0"/>
    <xf numFmtId="167" fontId="32" fillId="12" borderId="0" applyNumberFormat="0" applyBorder="0" applyAlignment="0" applyProtection="0"/>
    <xf numFmtId="0" fontId="32" fillId="15" borderId="0" applyNumberFormat="0" applyBorder="0" applyAlignment="0" applyProtection="0"/>
    <xf numFmtId="167" fontId="32" fillId="15" borderId="0" applyNumberFormat="0" applyBorder="0" applyAlignment="0" applyProtection="0"/>
    <xf numFmtId="0" fontId="32" fillId="16" borderId="0" applyNumberFormat="0" applyBorder="0" applyAlignment="0" applyProtection="0"/>
    <xf numFmtId="167" fontId="32" fillId="16" borderId="0" applyNumberFormat="0" applyBorder="0" applyAlignment="0" applyProtection="0"/>
    <xf numFmtId="0" fontId="32" fillId="17" borderId="0" applyNumberFormat="0" applyBorder="0" applyAlignment="0" applyProtection="0"/>
    <xf numFmtId="167" fontId="32" fillId="17" borderId="0" applyNumberFormat="0" applyBorder="0" applyAlignment="0" applyProtection="0"/>
    <xf numFmtId="0" fontId="32" fillId="18"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15" borderId="0" applyNumberFormat="0" applyBorder="0" applyAlignment="0" applyProtection="0"/>
    <xf numFmtId="0" fontId="32" fillId="16" borderId="0" applyNumberFormat="0" applyBorder="0" applyAlignment="0" applyProtection="0"/>
    <xf numFmtId="0" fontId="32" fillId="21" borderId="0" applyNumberFormat="0" applyBorder="0" applyAlignment="0" applyProtection="0"/>
    <xf numFmtId="0" fontId="32" fillId="18" borderId="0" applyNumberFormat="0" applyBorder="0" applyAlignment="0" applyProtection="0"/>
    <xf numFmtId="167" fontId="32" fillId="18" borderId="0" applyNumberFormat="0" applyBorder="0" applyAlignment="0" applyProtection="0"/>
    <xf numFmtId="0" fontId="32" fillId="19" borderId="0" applyNumberFormat="0" applyBorder="0" applyAlignment="0" applyProtection="0"/>
    <xf numFmtId="167" fontId="32" fillId="19" borderId="0" applyNumberFormat="0" applyBorder="0" applyAlignment="0" applyProtection="0"/>
    <xf numFmtId="0" fontId="32" fillId="20" borderId="0" applyNumberFormat="0" applyBorder="0" applyAlignment="0" applyProtection="0"/>
    <xf numFmtId="167" fontId="32" fillId="20" borderId="0" applyNumberFormat="0" applyBorder="0" applyAlignment="0" applyProtection="0"/>
    <xf numFmtId="0" fontId="32" fillId="15" borderId="0" applyNumberFormat="0" applyBorder="0" applyAlignment="0" applyProtection="0"/>
    <xf numFmtId="167" fontId="32" fillId="15" borderId="0" applyNumberFormat="0" applyBorder="0" applyAlignment="0" applyProtection="0"/>
    <xf numFmtId="0" fontId="32" fillId="16" borderId="0" applyNumberFormat="0" applyBorder="0" applyAlignment="0" applyProtection="0"/>
    <xf numFmtId="167" fontId="32" fillId="16" borderId="0" applyNumberFormat="0" applyBorder="0" applyAlignment="0" applyProtection="0"/>
    <xf numFmtId="0" fontId="32" fillId="21" borderId="0" applyNumberFormat="0" applyBorder="0" applyAlignment="0" applyProtection="0"/>
    <xf numFmtId="167" fontId="32" fillId="21" borderId="0" applyNumberFormat="0" applyBorder="0" applyAlignment="0" applyProtection="0"/>
    <xf numFmtId="0" fontId="33" fillId="22" borderId="18" applyNumberFormat="0" applyAlignment="0" applyProtection="0"/>
    <xf numFmtId="0" fontId="33" fillId="22" borderId="18" applyNumberFormat="0" applyAlignment="0" applyProtection="0"/>
    <xf numFmtId="167" fontId="33" fillId="22" borderId="18" applyNumberFormat="0" applyAlignment="0" applyProtection="0"/>
    <xf numFmtId="0" fontId="34" fillId="22" borderId="19" applyNumberFormat="0" applyAlignment="0" applyProtection="0"/>
    <xf numFmtId="0" fontId="34" fillId="22" borderId="19" applyNumberFormat="0" applyAlignment="0" applyProtection="0"/>
    <xf numFmtId="167" fontId="34" fillId="22" borderId="19" applyNumberFormat="0" applyAlignment="0" applyProtection="0"/>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0">
      <alignment horizontal="justify" vertical="top" textRotation="127" wrapText="1"/>
      <protection hidden="1"/>
    </xf>
    <xf numFmtId="0" fontId="9" fillId="0" borderId="15" quotePrefix="1">
      <alignment horizontal="justify" vertical="justify" textRotation="127" wrapText="1" justifyLastLine="1"/>
      <protection hidden="1"/>
    </xf>
    <xf numFmtId="0" fontId="11" fillId="2" borderId="14">
      <alignment vertical="top" wrapText="1"/>
    </xf>
    <xf numFmtId="167" fontId="35" fillId="2" borderId="14">
      <alignment vertical="top" wrapText="1"/>
    </xf>
    <xf numFmtId="0" fontId="11" fillId="2" borderId="14">
      <alignment vertical="top" wrapText="1"/>
    </xf>
    <xf numFmtId="167" fontId="12" fillId="10" borderId="20">
      <alignment vertical="top" wrapText="1"/>
    </xf>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17" fillId="0" borderId="0" applyFont="0" applyFill="0" applyBorder="0" applyAlignment="0" applyProtection="0"/>
    <xf numFmtId="41" fontId="26" fillId="0" borderId="0" applyFont="0" applyFill="0" applyBorder="0" applyAlignment="0" applyProtection="0"/>
    <xf numFmtId="0" fontId="36" fillId="0" borderId="0"/>
    <xf numFmtId="167" fontId="36" fillId="0" borderId="0"/>
    <xf numFmtId="0" fontId="19" fillId="0" borderId="0"/>
    <xf numFmtId="167" fontId="37" fillId="0" borderId="0"/>
    <xf numFmtId="0" fontId="11" fillId="2" borderId="14">
      <alignment horizontal="center" vertical="top" wrapText="1"/>
    </xf>
    <xf numFmtId="167" fontId="35" fillId="2" borderId="14">
      <alignment horizontal="center" vertical="top" wrapText="1"/>
    </xf>
    <xf numFmtId="0" fontId="11" fillId="2" borderId="14">
      <alignment horizontal="center" vertical="top" wrapText="1"/>
    </xf>
    <xf numFmtId="167" fontId="12" fillId="10" borderId="20">
      <alignment horizontal="center" vertical="top" wrapText="1"/>
    </xf>
    <xf numFmtId="169" fontId="17" fillId="0" borderId="0" applyFont="0" applyFill="0" applyBorder="0" applyAlignment="0" applyProtection="0"/>
    <xf numFmtId="169" fontId="17" fillId="0" borderId="0" applyFont="0" applyFill="0" applyBorder="0" applyAlignment="0" applyProtection="0"/>
    <xf numFmtId="166" fontId="17" fillId="0" borderId="0" applyFont="0" applyFill="0" applyBorder="0" applyAlignment="0" applyProtection="0"/>
    <xf numFmtId="166" fontId="15" fillId="0" borderId="0" applyFont="0" applyFill="0" applyBorder="0" applyAlignment="0" applyProtection="0"/>
    <xf numFmtId="166" fontId="17" fillId="0" borderId="0" applyFont="0" applyFill="0" applyBorder="0" applyAlignment="0" applyProtection="0"/>
    <xf numFmtId="166" fontId="26" fillId="0" borderId="0" applyFont="0" applyFill="0" applyBorder="0" applyAlignment="0" applyProtection="0"/>
    <xf numFmtId="166" fontId="15" fillId="0" borderId="0" applyFont="0" applyFill="0" applyBorder="0" applyAlignment="0" applyProtection="0"/>
    <xf numFmtId="169" fontId="15" fillId="0" borderId="0" applyFont="0" applyFill="0" applyBorder="0" applyAlignment="0" applyProtection="0"/>
    <xf numFmtId="0" fontId="38" fillId="9" borderId="19" applyNumberFormat="0" applyAlignment="0" applyProtection="0"/>
    <xf numFmtId="0" fontId="38" fillId="9" borderId="19" applyNumberFormat="0" applyAlignment="0" applyProtection="0"/>
    <xf numFmtId="167" fontId="38" fillId="9" borderId="19" applyNumberFormat="0" applyAlignment="0" applyProtection="0"/>
    <xf numFmtId="0" fontId="39" fillId="0" borderId="21" applyNumberFormat="0" applyFill="0" applyAlignment="0" applyProtection="0"/>
    <xf numFmtId="0" fontId="39" fillId="0" borderId="21" applyNumberFormat="0" applyFill="0" applyAlignment="0" applyProtection="0"/>
    <xf numFmtId="167" fontId="39" fillId="0" borderId="21"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167" fontId="40" fillId="0" borderId="0" applyNumberFormat="0" applyFill="0" applyBorder="0" applyAlignment="0" applyProtection="0"/>
    <xf numFmtId="167" fontId="9" fillId="0" borderId="0" applyFont="0" applyFill="0" applyBorder="0" applyAlignment="0" applyProtection="0"/>
    <xf numFmtId="0" fontId="41" fillId="6" borderId="0" applyNumberFormat="0" applyBorder="0" applyAlignment="0" applyProtection="0"/>
    <xf numFmtId="167" fontId="41" fillId="6" borderId="0" applyNumberFormat="0" applyBorder="0" applyAlignment="0" applyProtection="0"/>
    <xf numFmtId="0" fontId="42" fillId="0" borderId="0"/>
    <xf numFmtId="167" fontId="42" fillId="0" borderId="0"/>
    <xf numFmtId="0" fontId="20" fillId="0" borderId="0"/>
    <xf numFmtId="167" fontId="43" fillId="0" borderId="0"/>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167" fontId="13"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5" fillId="0" borderId="0">
      <alignment horizontal="right" indent="1"/>
    </xf>
    <xf numFmtId="167" fontId="45" fillId="0" borderId="0">
      <alignment horizontal="right" indent="1"/>
    </xf>
    <xf numFmtId="0" fontId="46" fillId="0" borderId="0" applyNumberFormat="0" applyFill="0" applyBorder="0" applyAlignment="0" applyProtection="0"/>
    <xf numFmtId="0" fontId="13" fillId="0" borderId="0" applyNumberFormat="0" applyFill="0" applyBorder="0" applyAlignment="0" applyProtection="0">
      <alignment vertical="top"/>
      <protection locked="0"/>
    </xf>
    <xf numFmtId="166" fontId="15" fillId="0" borderId="0" applyFont="0" applyFill="0" applyBorder="0" applyAlignment="0" applyProtection="0"/>
    <xf numFmtId="0" fontId="9" fillId="0" borderId="0"/>
    <xf numFmtId="167" fontId="9" fillId="0" borderId="0"/>
    <xf numFmtId="0" fontId="9" fillId="0" borderId="0"/>
    <xf numFmtId="0"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7"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10" fillId="0" borderId="0"/>
    <xf numFmtId="167" fontId="9" fillId="0" borderId="0"/>
    <xf numFmtId="167" fontId="9" fillId="0" borderId="0"/>
    <xf numFmtId="0" fontId="10" fillId="0" borderId="0"/>
    <xf numFmtId="0" fontId="10"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9"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26"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9" fillId="0" borderId="0"/>
    <xf numFmtId="0" fontId="9"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0" fontId="9" fillId="0" borderId="0"/>
    <xf numFmtId="0" fontId="9" fillId="0" borderId="0"/>
    <xf numFmtId="167" fontId="9" fillId="0" borderId="0"/>
    <xf numFmtId="0" fontId="9" fillId="0" borderId="0"/>
    <xf numFmtId="167" fontId="9" fillId="0" borderId="0"/>
    <xf numFmtId="0" fontId="9" fillId="0" borderId="0"/>
    <xf numFmtId="167" fontId="9" fillId="0" borderId="0"/>
    <xf numFmtId="0" fontId="9" fillId="0" borderId="0"/>
    <xf numFmtId="167" fontId="9" fillId="0" borderId="0"/>
    <xf numFmtId="167" fontId="9" fillId="0" borderId="0"/>
    <xf numFmtId="0" fontId="9"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26"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15" quotePrefix="1">
      <alignment horizontal="justify" vertical="justify" textRotation="127" wrapText="1" justifyLastLine="1"/>
      <protection hidden="1"/>
    </xf>
    <xf numFmtId="0" fontId="26" fillId="0" borderId="0"/>
    <xf numFmtId="167" fontId="26" fillId="0" borderId="0"/>
    <xf numFmtId="0" fontId="26" fillId="0" borderId="0"/>
    <xf numFmtId="167" fontId="26" fillId="0" borderId="0"/>
    <xf numFmtId="0" fontId="26" fillId="0" borderId="0"/>
    <xf numFmtId="167" fontId="26" fillId="0" borderId="0"/>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48"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48"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48"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167" fontId="26"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47" fillId="0" borderId="0"/>
    <xf numFmtId="167" fontId="47" fillId="0" borderId="0"/>
    <xf numFmtId="0"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0" borderId="0"/>
    <xf numFmtId="167" fontId="26"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9" fillId="0" borderId="0"/>
    <xf numFmtId="167" fontId="9" fillId="0" borderId="0"/>
    <xf numFmtId="167" fontId="9" fillId="0" borderId="0"/>
    <xf numFmtId="0" fontId="26" fillId="23" borderId="22" applyNumberFormat="0" applyFont="0" applyAlignment="0" applyProtection="0"/>
    <xf numFmtId="167" fontId="26" fillId="23" borderId="22" applyNumberFormat="0" applyFont="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49" fillId="0" borderId="0" applyFill="0" applyBorder="0" applyProtection="0">
      <alignment horizontal="left" vertical="top"/>
    </xf>
    <xf numFmtId="170" fontId="49" fillId="0" borderId="0" applyFill="0" applyBorder="0" applyProtection="0">
      <alignment horizontal="left" vertical="top"/>
    </xf>
    <xf numFmtId="170" fontId="49" fillId="0" borderId="0" applyFill="0" applyBorder="0" applyProtection="0">
      <alignment horizontal="left" vertical="top"/>
    </xf>
    <xf numFmtId="171" fontId="49" fillId="0" borderId="0" applyFill="0" applyBorder="0" applyProtection="0">
      <alignment horizontal="left" vertical="top"/>
    </xf>
    <xf numFmtId="0" fontId="49" fillId="0" borderId="0" applyNumberFormat="0" applyFill="0" applyBorder="0" applyProtection="0">
      <alignment horizontal="left" vertical="top"/>
    </xf>
    <xf numFmtId="0" fontId="49" fillId="0" borderId="0" applyNumberFormat="0" applyFill="0" applyBorder="0" applyProtection="0">
      <alignment horizontal="left" vertical="top" wrapText="1"/>
    </xf>
    <xf numFmtId="172" fontId="49" fillId="0" borderId="0" applyFill="0" applyBorder="0" applyProtection="0">
      <alignment horizontal="left" vertical="top"/>
    </xf>
    <xf numFmtId="172" fontId="49" fillId="0" borderId="0" applyFill="0" applyBorder="0" applyProtection="0">
      <alignment horizontal="left" vertical="top"/>
    </xf>
    <xf numFmtId="173" fontId="49" fillId="0" borderId="0" applyFill="0" applyBorder="0" applyProtection="0">
      <alignment horizontal="left" vertical="top"/>
    </xf>
    <xf numFmtId="0" fontId="50" fillId="0" borderId="0" applyNumberFormat="0" applyFill="0" applyBorder="0" applyProtection="0">
      <alignment horizontal="left" vertical="top"/>
    </xf>
    <xf numFmtId="49" fontId="49" fillId="0" borderId="0" applyFill="0" applyBorder="0" applyProtection="0">
      <alignment horizontal="left" vertical="top" wrapText="1"/>
    </xf>
    <xf numFmtId="0" fontId="49" fillId="0" borderId="0" applyNumberFormat="0" applyFill="0" applyBorder="0" applyProtection="0">
      <alignment horizontal="left" vertical="top"/>
    </xf>
    <xf numFmtId="0" fontId="49" fillId="0" borderId="0" applyNumberFormat="0" applyFill="0" applyBorder="0" applyProtection="0">
      <alignment horizontal="right" vertical="top"/>
    </xf>
    <xf numFmtId="0" fontId="28" fillId="0" borderId="0" applyNumberFormat="0" applyFill="0" applyBorder="0" applyProtection="0">
      <alignment horizontal="left" vertical="top" wrapText="1"/>
    </xf>
    <xf numFmtId="174" fontId="49" fillId="0" borderId="0" applyFill="0" applyBorder="0" applyProtection="0">
      <alignment horizontal="left" vertical="top"/>
    </xf>
    <xf numFmtId="9" fontId="9" fillId="0" borderId="0" applyFont="0" applyFill="0" applyBorder="0" applyAlignment="0" applyProtection="0"/>
    <xf numFmtId="3" fontId="51" fillId="0" borderId="0" applyFill="0" applyBorder="0" applyProtection="0">
      <alignment horizontal="center"/>
    </xf>
    <xf numFmtId="0" fontId="52" fillId="0" borderId="0" applyNumberFormat="0" applyFill="0" applyBorder="0" applyAlignment="0" applyProtection="0"/>
    <xf numFmtId="167" fontId="52" fillId="0" borderId="0" applyNumberFormat="0" applyFill="0" applyBorder="0" applyAlignment="0" applyProtection="0"/>
    <xf numFmtId="9" fontId="17"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7" fillId="0" borderId="0" applyFont="0" applyFill="0" applyBorder="0" applyAlignment="0" applyProtection="0"/>
    <xf numFmtId="9" fontId="9" fillId="0" borderId="0" applyFont="0" applyFill="0" applyBorder="0" applyAlignment="0" applyProtection="0"/>
    <xf numFmtId="4" fontId="17" fillId="24" borderId="18" applyNumberFormat="0" applyProtection="0">
      <alignment vertical="center"/>
    </xf>
    <xf numFmtId="4" fontId="53" fillId="24" borderId="18" applyNumberFormat="0" applyProtection="0">
      <alignment vertical="center"/>
    </xf>
    <xf numFmtId="4" fontId="17" fillId="24" borderId="18" applyNumberFormat="0" applyProtection="0">
      <alignment horizontal="left" vertical="center" indent="1"/>
    </xf>
    <xf numFmtId="4" fontId="17" fillId="24" borderId="18" applyNumberFormat="0" applyProtection="0">
      <alignment horizontal="left" vertical="center" indent="1"/>
    </xf>
    <xf numFmtId="0" fontId="9" fillId="25" borderId="18" applyNumberFormat="0" applyProtection="0">
      <alignment horizontal="left" vertical="center" indent="1"/>
    </xf>
    <xf numFmtId="4" fontId="17" fillId="26" borderId="18" applyNumberFormat="0" applyProtection="0">
      <alignment horizontal="right" vertical="center"/>
    </xf>
    <xf numFmtId="4" fontId="17" fillId="27" borderId="18" applyNumberFormat="0" applyProtection="0">
      <alignment horizontal="right" vertical="center"/>
    </xf>
    <xf numFmtId="4" fontId="17" fillId="28" borderId="18" applyNumberFormat="0" applyProtection="0">
      <alignment horizontal="right" vertical="center"/>
    </xf>
    <xf numFmtId="4" fontId="17" fillId="29" borderId="18" applyNumberFormat="0" applyProtection="0">
      <alignment horizontal="right" vertical="center"/>
    </xf>
    <xf numFmtId="4" fontId="17" fillId="30" borderId="18" applyNumberFormat="0" applyProtection="0">
      <alignment horizontal="right" vertical="center"/>
    </xf>
    <xf numFmtId="4" fontId="17" fillId="31" borderId="18" applyNumberFormat="0" applyProtection="0">
      <alignment horizontal="right" vertical="center"/>
    </xf>
    <xf numFmtId="4" fontId="17" fillId="32" borderId="18" applyNumberFormat="0" applyProtection="0">
      <alignment horizontal="right" vertical="center"/>
    </xf>
    <xf numFmtId="4" fontId="17" fillId="33" borderId="18" applyNumberFormat="0" applyProtection="0">
      <alignment horizontal="right" vertical="center"/>
    </xf>
    <xf numFmtId="4" fontId="17" fillId="34" borderId="18" applyNumberFormat="0" applyProtection="0">
      <alignment horizontal="right" vertical="center"/>
    </xf>
    <xf numFmtId="4" fontId="39" fillId="35" borderId="18" applyNumberFormat="0" applyProtection="0">
      <alignment horizontal="left" vertical="center" indent="1"/>
    </xf>
    <xf numFmtId="4" fontId="17" fillId="36" borderId="23" applyNumberFormat="0" applyProtection="0">
      <alignment horizontal="left" vertical="center" indent="1"/>
    </xf>
    <xf numFmtId="4" fontId="54" fillId="37" borderId="0" applyNumberFormat="0" applyProtection="0">
      <alignment horizontal="left" vertical="center" indent="1"/>
    </xf>
    <xf numFmtId="0" fontId="9" fillId="25" borderId="18" applyNumberFormat="0" applyProtection="0">
      <alignment horizontal="left" vertical="center" indent="1"/>
    </xf>
    <xf numFmtId="4" fontId="17" fillId="36" borderId="18" applyNumberFormat="0" applyProtection="0">
      <alignment horizontal="left" vertical="center" indent="1"/>
    </xf>
    <xf numFmtId="4" fontId="17" fillId="38" borderId="18" applyNumberFormat="0" applyProtection="0">
      <alignment horizontal="left" vertical="center" indent="1"/>
    </xf>
    <xf numFmtId="0" fontId="9" fillId="38" borderId="18" applyNumberFormat="0" applyProtection="0">
      <alignment horizontal="left" vertical="center" indent="1"/>
    </xf>
    <xf numFmtId="0" fontId="9" fillId="38" borderId="18" applyNumberFormat="0" applyProtection="0">
      <alignment horizontal="left" vertical="center" indent="1"/>
    </xf>
    <xf numFmtId="0" fontId="9" fillId="39" borderId="18" applyNumberFormat="0" applyProtection="0">
      <alignment horizontal="left" vertical="center" indent="1"/>
    </xf>
    <xf numFmtId="0" fontId="9" fillId="39" borderId="18" applyNumberFormat="0" applyProtection="0">
      <alignment horizontal="left" vertical="center" indent="1"/>
    </xf>
    <xf numFmtId="0" fontId="9" fillId="40" borderId="18" applyNumberFormat="0" applyProtection="0">
      <alignment horizontal="left" vertical="center" indent="1"/>
    </xf>
    <xf numFmtId="0" fontId="9" fillId="40" borderId="18" applyNumberFormat="0" applyProtection="0">
      <alignment horizontal="left" vertical="center" indent="1"/>
    </xf>
    <xf numFmtId="0" fontId="9" fillId="25" borderId="18" applyNumberFormat="0" applyProtection="0">
      <alignment horizontal="left" vertical="center" indent="1"/>
    </xf>
    <xf numFmtId="0" fontId="9" fillId="25" borderId="18" applyNumberFormat="0" applyProtection="0">
      <alignment horizontal="left" vertical="center" indent="1"/>
    </xf>
    <xf numFmtId="4" fontId="17" fillId="41" borderId="18" applyNumberFormat="0" applyProtection="0">
      <alignment vertical="center"/>
    </xf>
    <xf numFmtId="4" fontId="53" fillId="41" borderId="18" applyNumberFormat="0" applyProtection="0">
      <alignment vertical="center"/>
    </xf>
    <xf numFmtId="4" fontId="17" fillId="41" borderId="18" applyNumberFormat="0" applyProtection="0">
      <alignment horizontal="left" vertical="center" indent="1"/>
    </xf>
    <xf numFmtId="4" fontId="17" fillId="41" borderId="18" applyNumberFormat="0" applyProtection="0">
      <alignment horizontal="left" vertical="center" indent="1"/>
    </xf>
    <xf numFmtId="4" fontId="17" fillId="36" borderId="18" applyNumberFormat="0" applyProtection="0">
      <alignment horizontal="right" vertical="center"/>
    </xf>
    <xf numFmtId="4" fontId="53" fillId="36" borderId="18" applyNumberFormat="0" applyProtection="0">
      <alignment horizontal="right" vertical="center"/>
    </xf>
    <xf numFmtId="0" fontId="9" fillId="25" borderId="18" applyNumberFormat="0" applyProtection="0">
      <alignment horizontal="left" vertical="center" indent="1"/>
    </xf>
    <xf numFmtId="167" fontId="9" fillId="25" borderId="18" applyNumberFormat="0" applyProtection="0">
      <alignment horizontal="left" vertical="center" indent="1"/>
    </xf>
    <xf numFmtId="0" fontId="9" fillId="25" borderId="18" applyNumberFormat="0" applyProtection="0">
      <alignment horizontal="left" vertical="center" indent="1"/>
    </xf>
    <xf numFmtId="0" fontId="55" fillId="0" borderId="0"/>
    <xf numFmtId="4" fontId="56" fillId="36" borderId="18" applyNumberFormat="0" applyProtection="0">
      <alignment horizontal="right" vertical="center"/>
    </xf>
    <xf numFmtId="0" fontId="57" fillId="5" borderId="0" applyNumberFormat="0" applyBorder="0" applyAlignment="0" applyProtection="0"/>
    <xf numFmtId="167" fontId="57" fillId="5" borderId="0" applyNumberFormat="0" applyBorder="0" applyAlignment="0" applyProtection="0"/>
    <xf numFmtId="0" fontId="58" fillId="0" borderId="0"/>
    <xf numFmtId="167" fontId="58" fillId="0" borderId="0"/>
    <xf numFmtId="0" fontId="21" fillId="0" borderId="0"/>
    <xf numFmtId="167" fontId="59" fillId="0" borderId="0"/>
    <xf numFmtId="0" fontId="9" fillId="0" borderId="15" quotePrefix="1">
      <alignment horizontal="justify" vertical="justify" textRotation="127" wrapText="1" justifyLastLine="1"/>
      <protection hidden="1"/>
    </xf>
    <xf numFmtId="0" fontId="9" fillId="0" borderId="0"/>
    <xf numFmtId="0" fontId="9" fillId="0" borderId="0"/>
    <xf numFmtId="167" fontId="9" fillId="0" borderId="0"/>
    <xf numFmtId="167" fontId="9" fillId="0" borderId="0"/>
    <xf numFmtId="0" fontId="26" fillId="0" borderId="0"/>
    <xf numFmtId="0" fontId="9" fillId="0" borderId="0"/>
    <xf numFmtId="0" fontId="9" fillId="0" borderId="0"/>
    <xf numFmtId="167" fontId="9" fillId="0" borderId="0"/>
    <xf numFmtId="167" fontId="9" fillId="0" borderId="0"/>
    <xf numFmtId="0" fontId="9" fillId="0" borderId="0"/>
    <xf numFmtId="0" fontId="9" fillId="0" borderId="0"/>
    <xf numFmtId="167" fontId="9" fillId="0" borderId="0"/>
    <xf numFmtId="0" fontId="9" fillId="0" borderId="0"/>
    <xf numFmtId="0" fontId="15" fillId="0" borderId="0"/>
    <xf numFmtId="0" fontId="15" fillId="0" borderId="0"/>
    <xf numFmtId="0" fontId="15" fillId="0" borderId="0"/>
    <xf numFmtId="167" fontId="17" fillId="0" borderId="0"/>
    <xf numFmtId="0" fontId="26" fillId="0" borderId="0"/>
    <xf numFmtId="167" fontId="26" fillId="0" borderId="0"/>
    <xf numFmtId="0" fontId="26" fillId="0" borderId="0"/>
    <xf numFmtId="0" fontId="26" fillId="0" borderId="0"/>
    <xf numFmtId="0" fontId="15" fillId="0" borderId="0"/>
    <xf numFmtId="0" fontId="26" fillId="0" borderId="0"/>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167" fontId="9" fillId="0" borderId="15" quotePrefix="1">
      <alignment horizontal="justify" vertical="justify" textRotation="127" wrapText="1" justifyLastLine="1"/>
      <protection hidden="1"/>
    </xf>
    <xf numFmtId="0" fontId="9" fillId="0" borderId="15" quotePrefix="1">
      <alignment horizontal="justify" vertical="justify" textRotation="127" wrapText="1" justifyLastLine="1"/>
      <protection hidden="1"/>
    </xf>
    <xf numFmtId="0" fontId="27" fillId="0" borderId="0"/>
    <xf numFmtId="167" fontId="27" fillId="0" borderId="0"/>
    <xf numFmtId="0" fontId="60" fillId="0" borderId="0" applyNumberFormat="0" applyFill="0" applyBorder="0" applyAlignment="0" applyProtection="0"/>
    <xf numFmtId="0" fontId="61" fillId="0" borderId="24" applyNumberFormat="0" applyFill="0" applyAlignment="0" applyProtection="0"/>
    <xf numFmtId="167" fontId="61" fillId="0" borderId="24" applyNumberFormat="0" applyFill="0" applyAlignment="0" applyProtection="0"/>
    <xf numFmtId="0" fontId="62" fillId="0" borderId="25" applyNumberFormat="0" applyFill="0" applyAlignment="0" applyProtection="0"/>
    <xf numFmtId="167" fontId="62" fillId="0" borderId="25" applyNumberFormat="0" applyFill="0" applyAlignment="0" applyProtection="0"/>
    <xf numFmtId="0" fontId="63" fillId="0" borderId="26" applyNumberFormat="0" applyFill="0" applyAlignment="0" applyProtection="0"/>
    <xf numFmtId="167" fontId="63" fillId="0" borderId="26" applyNumberFormat="0" applyFill="0" applyAlignment="0" applyProtection="0"/>
    <xf numFmtId="0" fontId="63" fillId="0" borderId="0" applyNumberFormat="0" applyFill="0" applyBorder="0" applyAlignment="0" applyProtection="0"/>
    <xf numFmtId="167" fontId="63" fillId="0" borderId="0" applyNumberFormat="0" applyFill="0" applyBorder="0" applyAlignment="0" applyProtection="0"/>
    <xf numFmtId="167" fontId="60" fillId="0" borderId="0" applyNumberFormat="0" applyFill="0" applyBorder="0" applyAlignment="0" applyProtection="0"/>
    <xf numFmtId="0" fontId="64" fillId="0" borderId="27" applyNumberFormat="0" applyFill="0" applyAlignment="0" applyProtection="0"/>
    <xf numFmtId="167" fontId="64" fillId="0" borderId="27" applyNumberFormat="0" applyFill="0" applyAlignment="0" applyProtection="0"/>
    <xf numFmtId="175" fontId="17" fillId="0" borderId="0" applyFont="0" applyFill="0" applyBorder="0" applyAlignment="0" applyProtection="0"/>
    <xf numFmtId="176" fontId="9" fillId="0" borderId="0" applyFont="0" applyFill="0" applyBorder="0" applyAlignment="0" applyProtection="0"/>
    <xf numFmtId="175" fontId="15" fillId="0" borderId="0" applyFont="0" applyFill="0" applyBorder="0" applyAlignment="0" applyProtection="0"/>
    <xf numFmtId="175" fontId="15" fillId="0" borderId="0" applyFont="0" applyFill="0" applyBorder="0" applyAlignment="0" applyProtection="0"/>
    <xf numFmtId="175" fontId="17" fillId="0" borderId="0" applyFont="0" applyFill="0" applyBorder="0" applyAlignment="0" applyProtection="0"/>
    <xf numFmtId="176" fontId="15" fillId="0" borderId="0" applyFon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167" fontId="56" fillId="0" borderId="0" applyNumberFormat="0" applyFill="0" applyBorder="0" applyAlignment="0" applyProtection="0"/>
    <xf numFmtId="0" fontId="65" fillId="42" borderId="28" applyNumberFormat="0" applyAlignment="0" applyProtection="0"/>
    <xf numFmtId="167" fontId="65" fillId="42" borderId="28" applyNumberFormat="0" applyAlignment="0" applyProtection="0"/>
    <xf numFmtId="0" fontId="13" fillId="0" borderId="0" applyNumberFormat="0" applyFill="0" applyBorder="0" applyAlignment="0" applyProtection="0">
      <alignment vertical="top"/>
      <protection locked="0"/>
    </xf>
    <xf numFmtId="0" fontId="68" fillId="0" borderId="0"/>
    <xf numFmtId="4" fontId="28" fillId="0" borderId="1">
      <alignment vertical="top" wrapText="1"/>
    </xf>
    <xf numFmtId="186" fontId="69" fillId="49" borderId="0" applyFont="0" applyFill="0" applyBorder="0" applyAlignment="0" applyProtection="0"/>
    <xf numFmtId="9" fontId="10" fillId="0" borderId="0" applyFont="0" applyFill="0" applyBorder="0" applyAlignment="0" applyProtection="0"/>
    <xf numFmtId="0" fontId="9" fillId="0" borderId="0"/>
    <xf numFmtId="0" fontId="9" fillId="0" borderId="0"/>
    <xf numFmtId="0" fontId="9" fillId="0" borderId="0"/>
    <xf numFmtId="0" fontId="27" fillId="0" borderId="0"/>
    <xf numFmtId="0" fontId="27" fillId="0" borderId="0"/>
    <xf numFmtId="0" fontId="27" fillId="0" borderId="0"/>
    <xf numFmtId="188" fontId="9" fillId="0" borderId="0"/>
    <xf numFmtId="0" fontId="71" fillId="52" borderId="0" applyNumberFormat="0" applyBorder="0" applyAlignment="0" applyProtection="0"/>
    <xf numFmtId="169" fontId="48" fillId="0" borderId="0" applyFont="0" applyFill="0" applyBorder="0" applyAlignment="0" applyProtection="0"/>
    <xf numFmtId="169" fontId="48" fillId="0" borderId="0" applyFont="0" applyFill="0" applyBorder="0" applyAlignment="0" applyProtection="0"/>
    <xf numFmtId="169" fontId="48" fillId="0" borderId="0" applyFont="0" applyFill="0" applyBorder="0" applyAlignment="0" applyProtection="0"/>
    <xf numFmtId="169" fontId="48" fillId="0" borderId="0" applyFont="0" applyFill="0" applyBorder="0" applyAlignment="0" applyProtection="0"/>
    <xf numFmtId="175" fontId="17" fillId="0" borderId="0" applyFont="0" applyFill="0" applyBorder="0" applyAlignment="0" applyProtection="0"/>
    <xf numFmtId="166" fontId="26" fillId="0" borderId="0" applyFont="0" applyFill="0" applyBorder="0" applyAlignment="0" applyProtection="0"/>
    <xf numFmtId="176" fontId="9" fillId="0" borderId="0" applyFont="0" applyFill="0" applyBorder="0" applyAlignment="0" applyProtection="0"/>
    <xf numFmtId="0" fontId="70" fillId="51" borderId="0" applyNumberFormat="0" applyBorder="0" applyAlignment="0" applyProtection="0"/>
    <xf numFmtId="176" fontId="26" fillId="0" borderId="0" applyFont="0" applyFill="0" applyBorder="0" applyAlignment="0" applyProtection="0"/>
    <xf numFmtId="176" fontId="26" fillId="0" borderId="0" applyFont="0" applyFill="0" applyBorder="0" applyAlignment="0" applyProtection="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10" fillId="0" borderId="0"/>
    <xf numFmtId="0" fontId="10" fillId="0" borderId="0"/>
    <xf numFmtId="0" fontId="74" fillId="0" borderId="0"/>
    <xf numFmtId="9" fontId="48" fillId="0" borderId="0" applyFont="0" applyFill="0" applyBorder="0" applyAlignment="0" applyProtection="0"/>
    <xf numFmtId="9" fontId="48" fillId="0" borderId="0" applyFont="0" applyFill="0" applyBorder="0" applyAlignment="0" applyProtection="0"/>
    <xf numFmtId="9" fontId="9" fillId="0" borderId="0" applyFont="0" applyFill="0" applyBorder="0" applyAlignment="0" applyProtection="0"/>
    <xf numFmtId="9" fontId="48" fillId="0" borderId="0" applyFont="0" applyFill="0" applyBorder="0" applyAlignment="0" applyProtection="0"/>
    <xf numFmtId="0" fontId="75" fillId="0" borderId="0"/>
    <xf numFmtId="0" fontId="76" fillId="0" borderId="0"/>
    <xf numFmtId="166" fontId="10" fillId="0" borderId="0" applyFont="0" applyFill="0" applyBorder="0" applyAlignment="0" applyProtection="0"/>
    <xf numFmtId="0" fontId="76" fillId="0" borderId="0"/>
    <xf numFmtId="9" fontId="10" fillId="0" borderId="0" applyFont="0" applyFill="0" applyBorder="0" applyAlignment="0" applyProtection="0"/>
    <xf numFmtId="0" fontId="76" fillId="0" borderId="0"/>
    <xf numFmtId="0" fontId="76" fillId="0" borderId="0"/>
    <xf numFmtId="0" fontId="76" fillId="0" borderId="0"/>
    <xf numFmtId="0" fontId="76" fillId="0" borderId="0"/>
    <xf numFmtId="0" fontId="6" fillId="0" borderId="0"/>
    <xf numFmtId="0" fontId="6" fillId="0" borderId="0"/>
    <xf numFmtId="165" fontId="6" fillId="0" borderId="0" applyFont="0" applyFill="0" applyBorder="0" applyAlignment="0" applyProtection="0"/>
    <xf numFmtId="0" fontId="9" fillId="25" borderId="48" applyNumberFormat="0" applyProtection="0">
      <alignment horizontal="left" vertical="center" indent="1"/>
    </xf>
    <xf numFmtId="4" fontId="53" fillId="36" borderId="48" applyNumberFormat="0" applyProtection="0">
      <alignment horizontal="right" vertical="center"/>
    </xf>
    <xf numFmtId="4" fontId="17" fillId="36" borderId="48" applyNumberFormat="0" applyProtection="0">
      <alignment horizontal="right" vertical="center"/>
    </xf>
    <xf numFmtId="4" fontId="17" fillId="41" borderId="48" applyNumberFormat="0" applyProtection="0">
      <alignment horizontal="left" vertical="center" indent="1"/>
    </xf>
    <xf numFmtId="4" fontId="17" fillId="41" borderId="48" applyNumberFormat="0" applyProtection="0">
      <alignment horizontal="left" vertical="center" indent="1"/>
    </xf>
    <xf numFmtId="4" fontId="53" fillId="41" borderId="48" applyNumberFormat="0" applyProtection="0">
      <alignment vertical="center"/>
    </xf>
    <xf numFmtId="4" fontId="17" fillId="41" borderId="48" applyNumberFormat="0" applyProtection="0">
      <alignment vertical="center"/>
    </xf>
    <xf numFmtId="0" fontId="9" fillId="25" borderId="48" applyNumberFormat="0" applyProtection="0">
      <alignment horizontal="left" vertical="center" indent="1"/>
    </xf>
    <xf numFmtId="0" fontId="9" fillId="39" borderId="48" applyNumberFormat="0" applyProtection="0">
      <alignment horizontal="left" vertical="center" indent="1"/>
    </xf>
    <xf numFmtId="0" fontId="9" fillId="39" borderId="48" applyNumberFormat="0" applyProtection="0">
      <alignment horizontal="left" vertical="center" indent="1"/>
    </xf>
    <xf numFmtId="0" fontId="9" fillId="38" borderId="48" applyNumberFormat="0" applyProtection="0">
      <alignment horizontal="left" vertical="center" indent="1"/>
    </xf>
    <xf numFmtId="0" fontId="9" fillId="38" borderId="48" applyNumberFormat="0" applyProtection="0">
      <alignment horizontal="left" vertical="center" indent="1"/>
    </xf>
    <xf numFmtId="4" fontId="17" fillId="38" borderId="48" applyNumberFormat="0" applyProtection="0">
      <alignment horizontal="left" vertical="center" indent="1"/>
    </xf>
    <xf numFmtId="4" fontId="17" fillId="36" borderId="48" applyNumberFormat="0" applyProtection="0">
      <alignment horizontal="left" vertical="center" indent="1"/>
    </xf>
    <xf numFmtId="0" fontId="9" fillId="25" borderId="48" applyNumberFormat="0" applyProtection="0">
      <alignment horizontal="left" vertical="center" indent="1"/>
    </xf>
    <xf numFmtId="4" fontId="17" fillId="36" borderId="53" applyNumberFormat="0" applyProtection="0">
      <alignment horizontal="left" vertical="center" indent="1"/>
    </xf>
    <xf numFmtId="4" fontId="39" fillId="35" borderId="48" applyNumberFormat="0" applyProtection="0">
      <alignment horizontal="left" vertical="center" indent="1"/>
    </xf>
    <xf numFmtId="4" fontId="17" fillId="34" borderId="48" applyNumberFormat="0" applyProtection="0">
      <alignment horizontal="right" vertical="center"/>
    </xf>
    <xf numFmtId="4" fontId="17" fillId="33" borderId="48" applyNumberFormat="0" applyProtection="0">
      <alignment horizontal="right" vertical="center"/>
    </xf>
    <xf numFmtId="4" fontId="17" fillId="32" borderId="48" applyNumberFormat="0" applyProtection="0">
      <alignment horizontal="right" vertical="center"/>
    </xf>
    <xf numFmtId="4" fontId="17" fillId="31" borderId="48" applyNumberFormat="0" applyProtection="0">
      <alignment horizontal="right" vertical="center"/>
    </xf>
    <xf numFmtId="4" fontId="17" fillId="30" borderId="48" applyNumberFormat="0" applyProtection="0">
      <alignment horizontal="right" vertical="center"/>
    </xf>
    <xf numFmtId="4" fontId="17" fillId="29" borderId="48" applyNumberFormat="0" applyProtection="0">
      <alignment horizontal="right" vertical="center"/>
    </xf>
    <xf numFmtId="4" fontId="17" fillId="28" borderId="48" applyNumberFormat="0" applyProtection="0">
      <alignment horizontal="right" vertical="center"/>
    </xf>
    <xf numFmtId="4" fontId="17" fillId="27" borderId="48" applyNumberFormat="0" applyProtection="0">
      <alignment horizontal="right" vertical="center"/>
    </xf>
    <xf numFmtId="4" fontId="17" fillId="26" borderId="48" applyNumberFormat="0" applyProtection="0">
      <alignment horizontal="right" vertical="center"/>
    </xf>
    <xf numFmtId="0" fontId="9" fillId="25" borderId="48" applyNumberFormat="0" applyProtection="0">
      <alignment horizontal="left" vertical="center" indent="1"/>
    </xf>
    <xf numFmtId="4" fontId="17" fillId="24" borderId="48" applyNumberFormat="0" applyProtection="0">
      <alignment horizontal="left" vertical="center" indent="1"/>
    </xf>
    <xf numFmtId="4" fontId="17" fillId="24" borderId="48" applyNumberFormat="0" applyProtection="0">
      <alignment horizontal="left" vertical="center" indent="1"/>
    </xf>
    <xf numFmtId="4" fontId="53" fillId="24" borderId="48" applyNumberFormat="0" applyProtection="0">
      <alignment vertical="center"/>
    </xf>
    <xf numFmtId="4" fontId="17" fillId="24" borderId="48" applyNumberFormat="0" applyProtection="0">
      <alignment vertical="center"/>
    </xf>
    <xf numFmtId="167" fontId="26" fillId="23" borderId="52" applyNumberFormat="0" applyFont="0" applyAlignment="0" applyProtection="0"/>
    <xf numFmtId="0" fontId="26" fillId="23" borderId="52" applyNumberFormat="0" applyFont="0" applyAlignment="0" applyProtection="0"/>
    <xf numFmtId="0" fontId="33" fillId="22" borderId="42" applyNumberFormat="0" applyAlignment="0" applyProtection="0"/>
    <xf numFmtId="0" fontId="33" fillId="22" borderId="42" applyNumberFormat="0" applyAlignment="0" applyProtection="0"/>
    <xf numFmtId="167" fontId="33" fillId="22" borderId="42" applyNumberFormat="0" applyAlignment="0" applyProtection="0"/>
    <xf numFmtId="0" fontId="34" fillId="22" borderId="43" applyNumberFormat="0" applyAlignment="0" applyProtection="0"/>
    <xf numFmtId="0" fontId="34" fillId="22" borderId="43" applyNumberFormat="0" applyAlignment="0" applyProtection="0"/>
    <xf numFmtId="167" fontId="34" fillId="22" borderId="43" applyNumberFormat="0" applyAlignment="0" applyProtection="0"/>
    <xf numFmtId="167" fontId="12" fillId="10" borderId="44">
      <alignment vertical="top" wrapText="1"/>
    </xf>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7" fillId="0" borderId="0" applyFont="0" applyFill="0" applyBorder="0" applyAlignment="0" applyProtection="0"/>
    <xf numFmtId="167" fontId="12" fillId="10" borderId="44">
      <alignment horizontal="center" vertical="top" wrapText="1"/>
    </xf>
    <xf numFmtId="165" fontId="17" fillId="0" borderId="0" applyFont="0" applyFill="0" applyBorder="0" applyAlignment="0" applyProtection="0"/>
    <xf numFmtId="165" fontId="15" fillId="0" borderId="0" applyFont="0" applyFill="0" applyBorder="0" applyAlignment="0" applyProtection="0"/>
    <xf numFmtId="165" fontId="17"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0" fontId="38" fillId="9" borderId="43" applyNumberFormat="0" applyAlignment="0" applyProtection="0"/>
    <xf numFmtId="0" fontId="38" fillId="9" borderId="43" applyNumberFormat="0" applyAlignment="0" applyProtection="0"/>
    <xf numFmtId="167" fontId="38" fillId="9" borderId="43" applyNumberFormat="0" applyAlignment="0" applyProtection="0"/>
    <xf numFmtId="0" fontId="39" fillId="0" borderId="45" applyNumberFormat="0" applyFill="0" applyAlignment="0" applyProtection="0"/>
    <xf numFmtId="0" fontId="39" fillId="0" borderId="45" applyNumberFormat="0" applyFill="0" applyAlignment="0" applyProtection="0"/>
    <xf numFmtId="167" fontId="39" fillId="0" borderId="45" applyNumberFormat="0" applyFill="0" applyAlignment="0" applyProtection="0"/>
    <xf numFmtId="165" fontId="1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39" fillId="0" borderId="51" applyNumberFormat="0" applyFill="0" applyAlignment="0" applyProtection="0"/>
    <xf numFmtId="0" fontId="39" fillId="0" borderId="51" applyNumberFormat="0" applyFill="0" applyAlignment="0" applyProtection="0"/>
    <xf numFmtId="0" fontId="39" fillId="0" borderId="51" applyNumberFormat="0" applyFill="0" applyAlignment="0" applyProtection="0"/>
    <xf numFmtId="167" fontId="38" fillId="9" borderId="49" applyNumberFormat="0" applyAlignment="0" applyProtection="0"/>
    <xf numFmtId="0" fontId="38" fillId="9" borderId="49" applyNumberFormat="0" applyAlignment="0" applyProtection="0"/>
    <xf numFmtId="0" fontId="38" fillId="9" borderId="49" applyNumberFormat="0" applyAlignment="0" applyProtection="0"/>
    <xf numFmtId="167" fontId="12" fillId="10" borderId="50">
      <alignment horizontal="center" vertical="top" wrapText="1"/>
    </xf>
    <xf numFmtId="167" fontId="12" fillId="10" borderId="50">
      <alignment vertical="top" wrapText="1"/>
    </xf>
    <xf numFmtId="167" fontId="34" fillId="22" borderId="49" applyNumberFormat="0" applyAlignment="0" applyProtection="0"/>
    <xf numFmtId="0" fontId="34" fillId="22" borderId="49" applyNumberFormat="0" applyAlignment="0" applyProtection="0"/>
    <xf numFmtId="0" fontId="34" fillId="22" borderId="49" applyNumberFormat="0" applyAlignment="0" applyProtection="0"/>
    <xf numFmtId="167" fontId="33" fillId="22" borderId="48" applyNumberFormat="0" applyAlignment="0" applyProtection="0"/>
    <xf numFmtId="0" fontId="33" fillId="22" borderId="48" applyNumberFormat="0" applyAlignment="0" applyProtection="0"/>
    <xf numFmtId="0" fontId="33" fillId="22" borderId="48" applyNumberFormat="0" applyAlignment="0" applyProtection="0"/>
    <xf numFmtId="0" fontId="26" fillId="23" borderId="46" applyNumberFormat="0" applyFont="0" applyAlignment="0" applyProtection="0"/>
    <xf numFmtId="167" fontId="26" fillId="23" borderId="46" applyNumberFormat="0" applyFont="0" applyAlignment="0" applyProtection="0"/>
    <xf numFmtId="4" fontId="17" fillId="24" borderId="42" applyNumberFormat="0" applyProtection="0">
      <alignment vertical="center"/>
    </xf>
    <xf numFmtId="4" fontId="53" fillId="24" borderId="42" applyNumberFormat="0" applyProtection="0">
      <alignment vertical="center"/>
    </xf>
    <xf numFmtId="4" fontId="17" fillId="24" borderId="42" applyNumberFormat="0" applyProtection="0">
      <alignment horizontal="left" vertical="center" indent="1"/>
    </xf>
    <xf numFmtId="4" fontId="17" fillId="24" borderId="42" applyNumberFormat="0" applyProtection="0">
      <alignment horizontal="left" vertical="center" indent="1"/>
    </xf>
    <xf numFmtId="0" fontId="9" fillId="25" borderId="42" applyNumberFormat="0" applyProtection="0">
      <alignment horizontal="left" vertical="center" indent="1"/>
    </xf>
    <xf numFmtId="4" fontId="17" fillId="26" borderId="42" applyNumberFormat="0" applyProtection="0">
      <alignment horizontal="right" vertical="center"/>
    </xf>
    <xf numFmtId="4" fontId="17" fillId="27" borderId="42" applyNumberFormat="0" applyProtection="0">
      <alignment horizontal="right" vertical="center"/>
    </xf>
    <xf numFmtId="4" fontId="17" fillId="28" borderId="42" applyNumberFormat="0" applyProtection="0">
      <alignment horizontal="right" vertical="center"/>
    </xf>
    <xf numFmtId="4" fontId="17" fillId="29" borderId="42" applyNumberFormat="0" applyProtection="0">
      <alignment horizontal="right" vertical="center"/>
    </xf>
    <xf numFmtId="4" fontId="17" fillId="30" borderId="42" applyNumberFormat="0" applyProtection="0">
      <alignment horizontal="right" vertical="center"/>
    </xf>
    <xf numFmtId="4" fontId="17" fillId="31" borderId="42" applyNumberFormat="0" applyProtection="0">
      <alignment horizontal="right" vertical="center"/>
    </xf>
    <xf numFmtId="4" fontId="17" fillId="32" borderId="42" applyNumberFormat="0" applyProtection="0">
      <alignment horizontal="right" vertical="center"/>
    </xf>
    <xf numFmtId="4" fontId="17" fillId="33" borderId="42" applyNumberFormat="0" applyProtection="0">
      <alignment horizontal="right" vertical="center"/>
    </xf>
    <xf numFmtId="4" fontId="17" fillId="34" borderId="42" applyNumberFormat="0" applyProtection="0">
      <alignment horizontal="right" vertical="center"/>
    </xf>
    <xf numFmtId="4" fontId="39" fillId="35" borderId="42" applyNumberFormat="0" applyProtection="0">
      <alignment horizontal="left" vertical="center" indent="1"/>
    </xf>
    <xf numFmtId="0" fontId="9" fillId="25" borderId="42" applyNumberFormat="0" applyProtection="0">
      <alignment horizontal="left" vertical="center" indent="1"/>
    </xf>
    <xf numFmtId="4" fontId="17" fillId="36" borderId="42" applyNumberFormat="0" applyProtection="0">
      <alignment horizontal="left" vertical="center" indent="1"/>
    </xf>
    <xf numFmtId="4" fontId="17" fillId="38" borderId="42" applyNumberFormat="0" applyProtection="0">
      <alignment horizontal="left" vertical="center" indent="1"/>
    </xf>
    <xf numFmtId="0" fontId="9" fillId="38" borderId="42" applyNumberFormat="0" applyProtection="0">
      <alignment horizontal="left" vertical="center" indent="1"/>
    </xf>
    <xf numFmtId="0" fontId="9" fillId="38" borderId="42" applyNumberFormat="0" applyProtection="0">
      <alignment horizontal="left" vertical="center" indent="1"/>
    </xf>
    <xf numFmtId="0" fontId="9" fillId="39" borderId="42" applyNumberFormat="0" applyProtection="0">
      <alignment horizontal="left" vertical="center" indent="1"/>
    </xf>
    <xf numFmtId="0" fontId="9" fillId="39" borderId="42" applyNumberFormat="0" applyProtection="0">
      <alignment horizontal="left" vertical="center" indent="1"/>
    </xf>
    <xf numFmtId="0" fontId="9" fillId="40" borderId="42" applyNumberFormat="0" applyProtection="0">
      <alignment horizontal="left" vertical="center" indent="1"/>
    </xf>
    <xf numFmtId="0" fontId="9" fillId="40" borderId="42" applyNumberFormat="0" applyProtection="0">
      <alignment horizontal="left" vertical="center" indent="1"/>
    </xf>
    <xf numFmtId="0" fontId="9" fillId="25" borderId="42" applyNumberFormat="0" applyProtection="0">
      <alignment horizontal="left" vertical="center" indent="1"/>
    </xf>
    <xf numFmtId="0" fontId="9" fillId="25" borderId="42" applyNumberFormat="0" applyProtection="0">
      <alignment horizontal="left" vertical="center" indent="1"/>
    </xf>
    <xf numFmtId="4" fontId="17" fillId="41" borderId="42" applyNumberFormat="0" applyProtection="0">
      <alignment vertical="center"/>
    </xf>
    <xf numFmtId="4" fontId="53" fillId="41" borderId="42" applyNumberFormat="0" applyProtection="0">
      <alignment vertical="center"/>
    </xf>
    <xf numFmtId="4" fontId="17" fillId="41" borderId="42" applyNumberFormat="0" applyProtection="0">
      <alignment horizontal="left" vertical="center" indent="1"/>
    </xf>
    <xf numFmtId="4" fontId="17" fillId="41" borderId="42" applyNumberFormat="0" applyProtection="0">
      <alignment horizontal="left" vertical="center" indent="1"/>
    </xf>
    <xf numFmtId="4" fontId="17" fillId="36" borderId="42" applyNumberFormat="0" applyProtection="0">
      <alignment horizontal="right" vertical="center"/>
    </xf>
    <xf numFmtId="4" fontId="53" fillId="36" borderId="42" applyNumberFormat="0" applyProtection="0">
      <alignment horizontal="right" vertical="center"/>
    </xf>
    <xf numFmtId="0" fontId="9" fillId="25" borderId="42" applyNumberFormat="0" applyProtection="0">
      <alignment horizontal="left" vertical="center" indent="1"/>
    </xf>
    <xf numFmtId="167" fontId="9" fillId="25" borderId="42" applyNumberFormat="0" applyProtection="0">
      <alignment horizontal="left" vertical="center" indent="1"/>
    </xf>
    <xf numFmtId="0" fontId="9" fillId="25" borderId="42" applyNumberFormat="0" applyProtection="0">
      <alignment horizontal="left" vertical="center" indent="1"/>
    </xf>
    <xf numFmtId="4" fontId="56" fillId="36" borderId="42" applyNumberFormat="0" applyProtection="0">
      <alignment horizontal="right" vertical="center"/>
    </xf>
    <xf numFmtId="164" fontId="15" fillId="0" borderId="0" applyFont="0" applyFill="0" applyBorder="0" applyAlignment="0" applyProtection="0"/>
    <xf numFmtId="4" fontId="28" fillId="0" borderId="39">
      <alignment vertical="top" wrapText="1"/>
    </xf>
    <xf numFmtId="9" fontId="6" fillId="0" borderId="0" applyFont="0" applyFill="0" applyBorder="0" applyAlignment="0" applyProtection="0"/>
    <xf numFmtId="0" fontId="9" fillId="25" borderId="48" applyNumberFormat="0" applyProtection="0">
      <alignment horizontal="left" vertical="center" indent="1"/>
    </xf>
    <xf numFmtId="0" fontId="9" fillId="40" borderId="48" applyNumberFormat="0" applyProtection="0">
      <alignment horizontal="left" vertical="center" indent="1"/>
    </xf>
    <xf numFmtId="0" fontId="9" fillId="40" borderId="48" applyNumberFormat="0" applyProtection="0">
      <alignment horizontal="left" vertical="center" indent="1"/>
    </xf>
    <xf numFmtId="165" fontId="26" fillId="0" borderId="0" applyFont="0" applyFill="0" applyBorder="0" applyAlignment="0" applyProtection="0"/>
    <xf numFmtId="0" fontId="6" fillId="0" borderId="0"/>
    <xf numFmtId="0" fontId="6" fillId="0" borderId="0"/>
    <xf numFmtId="0" fontId="9" fillId="0" borderId="0"/>
    <xf numFmtId="0" fontId="9" fillId="0" borderId="0"/>
    <xf numFmtId="165" fontId="6" fillId="0" borderId="0" applyFont="0" applyFill="0" applyBorder="0" applyAlignment="0" applyProtection="0"/>
    <xf numFmtId="0" fontId="9" fillId="0" borderId="0"/>
    <xf numFmtId="9" fontId="6" fillId="0" borderId="0" applyFont="0" applyFill="0" applyBorder="0" applyAlignment="0" applyProtection="0"/>
    <xf numFmtId="0" fontId="9" fillId="0" borderId="0"/>
    <xf numFmtId="0" fontId="9" fillId="0" borderId="0"/>
    <xf numFmtId="0" fontId="9" fillId="0" borderId="0"/>
    <xf numFmtId="0" fontId="9" fillId="0" borderId="0"/>
    <xf numFmtId="167" fontId="9" fillId="25" borderId="48" applyNumberFormat="0" applyProtection="0">
      <alignment horizontal="left" vertical="center" indent="1"/>
    </xf>
    <xf numFmtId="0" fontId="9" fillId="25" borderId="48" applyNumberFormat="0" applyProtection="0">
      <alignment horizontal="left" vertical="center" indent="1"/>
    </xf>
    <xf numFmtId="4" fontId="56" fillId="36" borderId="48" applyNumberFormat="0" applyProtection="0">
      <alignment horizontal="right" vertical="center"/>
    </xf>
    <xf numFmtId="4" fontId="28" fillId="0" borderId="47">
      <alignment vertical="top" wrapText="1"/>
    </xf>
    <xf numFmtId="0" fontId="5" fillId="0" borderId="0"/>
    <xf numFmtId="0" fontId="5" fillId="0" borderId="0"/>
    <xf numFmtId="0" fontId="4" fillId="0" borderId="0"/>
    <xf numFmtId="0" fontId="3" fillId="0" borderId="0"/>
    <xf numFmtId="0" fontId="17" fillId="0" borderId="0"/>
    <xf numFmtId="9" fontId="9" fillId="0" borderId="0"/>
    <xf numFmtId="0" fontId="2" fillId="0" borderId="0"/>
    <xf numFmtId="0" fontId="1" fillId="0" borderId="0"/>
  </cellStyleXfs>
  <cellXfs count="266">
    <xf numFmtId="0" fontId="0" fillId="0" borderId="0" xfId="0"/>
    <xf numFmtId="0" fontId="12" fillId="0" borderId="0" xfId="14" applyFont="1"/>
    <xf numFmtId="0" fontId="12" fillId="0" borderId="0" xfId="14" applyFont="1" applyAlignment="1">
      <alignment horizontal="left"/>
    </xf>
    <xf numFmtId="0" fontId="12" fillId="0" borderId="0" xfId="14" applyFont="1" applyAlignment="1">
      <alignment horizontal="left" indent="1"/>
    </xf>
    <xf numFmtId="0" fontId="9" fillId="0" borderId="0" xfId="15" applyBorder="1" applyAlignment="1" applyProtection="1">
      <alignment vertical="center"/>
    </xf>
    <xf numFmtId="0" fontId="12" fillId="0" borderId="0" xfId="14" applyFont="1" applyAlignment="1" applyProtection="1">
      <alignment horizontal="left" vertical="center" indent="1"/>
      <protection locked="0"/>
    </xf>
    <xf numFmtId="1" fontId="12" fillId="0" borderId="0" xfId="14" applyNumberFormat="1" applyFont="1" applyAlignment="1" applyProtection="1">
      <alignment horizontal="center" vertical="center" wrapText="1"/>
      <protection locked="0"/>
    </xf>
    <xf numFmtId="1" fontId="12" fillId="0" borderId="0" xfId="14" applyNumberFormat="1" applyFont="1" applyAlignment="1" applyProtection="1">
      <alignment vertical="center" wrapText="1"/>
      <protection locked="0"/>
    </xf>
    <xf numFmtId="0" fontId="12" fillId="0" borderId="0" xfId="14" applyFont="1" applyAlignment="1" applyProtection="1">
      <alignment wrapText="1"/>
      <protection locked="0"/>
    </xf>
    <xf numFmtId="0" fontId="12" fillId="0" borderId="0" xfId="14" applyFont="1" applyProtection="1">
      <protection locked="0"/>
    </xf>
    <xf numFmtId="0" fontId="9" fillId="0" borderId="0" xfId="14"/>
    <xf numFmtId="0" fontId="0" fillId="0" borderId="0" xfId="14" applyFont="1"/>
    <xf numFmtId="3" fontId="16" fillId="43" borderId="13" xfId="14" applyNumberFormat="1" applyFont="1" applyFill="1" applyBorder="1" applyAlignment="1">
      <alignment horizontal="left" vertical="center" indent="2"/>
    </xf>
    <xf numFmtId="3" fontId="16" fillId="43" borderId="6" xfId="14" applyNumberFormat="1" applyFont="1" applyFill="1" applyBorder="1" applyAlignment="1">
      <alignment horizontal="center" vertical="center"/>
    </xf>
    <xf numFmtId="0" fontId="9" fillId="0" borderId="0" xfId="4849" applyBorder="1" applyAlignment="1" applyProtection="1">
      <alignment vertical="center"/>
    </xf>
    <xf numFmtId="1" fontId="12" fillId="0" borderId="2" xfId="325" applyNumberFormat="1" applyFont="1" applyBorder="1" applyAlignment="1">
      <alignment horizontal="center" vertical="center" wrapText="1"/>
    </xf>
    <xf numFmtId="1" fontId="12" fillId="0" borderId="2" xfId="325" applyNumberFormat="1" applyFont="1" applyBorder="1" applyAlignment="1">
      <alignment vertical="center" wrapText="1"/>
    </xf>
    <xf numFmtId="0" fontId="12" fillId="0" borderId="0" xfId="325" applyFont="1"/>
    <xf numFmtId="0" fontId="9" fillId="0" borderId="0" xfId="4849" applyBorder="1" applyAlignment="1" applyProtection="1"/>
    <xf numFmtId="49" fontId="9" fillId="2" borderId="12" xfId="4849" applyNumberFormat="1" applyFill="1" applyBorder="1" applyAlignment="1" applyProtection="1">
      <alignment vertical="top" wrapText="1"/>
    </xf>
    <xf numFmtId="0" fontId="12" fillId="2" borderId="30" xfId="4849" applyFont="1" applyFill="1" applyBorder="1" applyAlignment="1" applyProtection="1">
      <alignment horizontal="center" vertical="top" wrapText="1"/>
    </xf>
    <xf numFmtId="0" fontId="9" fillId="44" borderId="13" xfId="4849" applyFill="1" applyBorder="1" applyAlignment="1" applyProtection="1">
      <alignment vertical="top"/>
    </xf>
    <xf numFmtId="0" fontId="9" fillId="44" borderId="31" xfId="4849" applyFill="1" applyBorder="1" applyAlignment="1" applyProtection="1">
      <alignment vertical="top"/>
    </xf>
    <xf numFmtId="0" fontId="9" fillId="44" borderId="0" xfId="4849" applyFill="1" applyBorder="1" applyAlignment="1" applyProtection="1"/>
    <xf numFmtId="0" fontId="12" fillId="2" borderId="13" xfId="4849" applyFont="1" applyFill="1" applyBorder="1" applyAlignment="1">
      <alignment vertical="top"/>
      <protection hidden="1"/>
    </xf>
    <xf numFmtId="0" fontId="9" fillId="3" borderId="31" xfId="4849" applyFill="1" applyBorder="1" applyAlignment="1" applyProtection="1">
      <alignment vertical="top"/>
      <protection locked="0"/>
    </xf>
    <xf numFmtId="0" fontId="12" fillId="2" borderId="13" xfId="4849" applyFont="1" applyFill="1" applyBorder="1" applyAlignment="1" applyProtection="1">
      <alignment vertical="top"/>
    </xf>
    <xf numFmtId="0" fontId="67" fillId="46" borderId="31" xfId="4879" applyFont="1" applyFill="1" applyBorder="1" applyAlignment="1" applyProtection="1">
      <alignment horizontal="center" vertical="center"/>
      <protection locked="0"/>
    </xf>
    <xf numFmtId="0" fontId="9" fillId="2" borderId="13" xfId="4849" applyFill="1" applyBorder="1" applyAlignment="1" applyProtection="1">
      <alignment vertical="top"/>
    </xf>
    <xf numFmtId="0" fontId="9" fillId="44" borderId="31" xfId="4849" applyFill="1" applyBorder="1" applyAlignment="1" applyProtection="1">
      <alignment vertical="top"/>
      <protection locked="0"/>
    </xf>
    <xf numFmtId="0" fontId="13" fillId="0" borderId="0" xfId="4879" applyFill="1" applyBorder="1" applyAlignment="1" applyProtection="1">
      <alignment horizontal="center" vertical="center"/>
    </xf>
    <xf numFmtId="0" fontId="12" fillId="2" borderId="32" xfId="4849" applyFont="1" applyFill="1" applyBorder="1" applyAlignment="1" applyProtection="1">
      <alignment vertical="top"/>
    </xf>
    <xf numFmtId="49" fontId="9" fillId="2" borderId="12" xfId="4849" applyNumberFormat="1" applyFill="1" applyBorder="1" applyAlignment="1" applyProtection="1">
      <alignment vertical="top"/>
    </xf>
    <xf numFmtId="0" fontId="9" fillId="3" borderId="12" xfId="4849" applyFill="1" applyBorder="1" applyAlignment="1" applyProtection="1">
      <alignment horizontal="center" vertical="top"/>
      <protection locked="0"/>
    </xf>
    <xf numFmtId="10" fontId="9" fillId="3" borderId="12" xfId="4849" applyNumberFormat="1" applyFill="1" applyBorder="1" applyAlignment="1" applyProtection="1">
      <alignment horizontal="center" vertical="top"/>
      <protection locked="0"/>
    </xf>
    <xf numFmtId="0" fontId="9" fillId="3" borderId="12" xfId="4849" applyFill="1" applyBorder="1" applyAlignment="1" applyProtection="1">
      <alignment vertical="top"/>
      <protection locked="0" hidden="1"/>
    </xf>
    <xf numFmtId="0" fontId="9" fillId="3" borderId="30" xfId="4849" applyFill="1" applyBorder="1" applyAlignment="1" applyProtection="1">
      <alignment vertical="top"/>
      <protection locked="0"/>
    </xf>
    <xf numFmtId="0" fontId="12" fillId="2" borderId="33" xfId="4849" applyFont="1" applyFill="1" applyBorder="1" applyAlignment="1" applyProtection="1">
      <alignment vertical="top"/>
    </xf>
    <xf numFmtId="49" fontId="9" fillId="2" borderId="8" xfId="4849" applyNumberFormat="1" applyFill="1" applyBorder="1" applyAlignment="1" applyProtection="1">
      <alignment vertical="top"/>
    </xf>
    <xf numFmtId="0" fontId="9" fillId="3" borderId="8" xfId="4849" applyFill="1" applyBorder="1" applyAlignment="1" applyProtection="1">
      <alignment horizontal="center" vertical="top"/>
      <protection locked="0"/>
    </xf>
    <xf numFmtId="10" fontId="9" fillId="3" borderId="8" xfId="4849" applyNumberFormat="1" applyFill="1" applyBorder="1" applyAlignment="1" applyProtection="1">
      <alignment horizontal="center" vertical="top"/>
      <protection locked="0"/>
    </xf>
    <xf numFmtId="0" fontId="9" fillId="3" borderId="8" xfId="4849" applyFill="1" applyBorder="1" applyAlignment="1" applyProtection="1">
      <alignment vertical="top"/>
      <protection locked="0" hidden="1"/>
    </xf>
    <xf numFmtId="0" fontId="9" fillId="3" borderId="10" xfId="4849" applyFill="1" applyBorder="1" applyAlignment="1" applyProtection="1">
      <alignment vertical="top"/>
      <protection locked="0"/>
    </xf>
    <xf numFmtId="185" fontId="9" fillId="45" borderId="8" xfId="325" applyNumberFormat="1" applyFill="1" applyBorder="1" applyAlignment="1" applyProtection="1">
      <alignment horizontal="center" vertical="center"/>
      <protection locked="0"/>
    </xf>
    <xf numFmtId="185" fontId="9" fillId="45" borderId="12" xfId="325" applyNumberFormat="1" applyFill="1" applyBorder="1" applyAlignment="1" applyProtection="1">
      <alignment horizontal="center" vertical="center"/>
      <protection locked="0"/>
    </xf>
    <xf numFmtId="0" fontId="9" fillId="2" borderId="12" xfId="4849" applyFill="1" applyBorder="1" applyAlignment="1" applyProtection="1">
      <alignment vertical="top"/>
    </xf>
    <xf numFmtId="0" fontId="9" fillId="3" borderId="34" xfId="4849" applyFill="1" applyBorder="1" applyAlignment="1" applyProtection="1">
      <alignment vertical="top"/>
      <protection locked="0" hidden="1"/>
    </xf>
    <xf numFmtId="0" fontId="67" fillId="47" borderId="31" xfId="4879" applyFont="1" applyFill="1" applyBorder="1" applyAlignment="1" applyProtection="1">
      <alignment horizontal="center" vertical="center"/>
      <protection locked="0"/>
    </xf>
    <xf numFmtId="0" fontId="9" fillId="2" borderId="35" xfId="4849" applyFill="1" applyBorder="1" applyAlignment="1" applyProtection="1">
      <alignment vertical="top"/>
    </xf>
    <xf numFmtId="0" fontId="9" fillId="3" borderId="36" xfId="4849" applyFill="1" applyBorder="1" applyAlignment="1" applyProtection="1">
      <alignment horizontal="center" vertical="top"/>
      <protection locked="0"/>
    </xf>
    <xf numFmtId="10" fontId="9" fillId="3" borderId="36" xfId="4849" applyNumberFormat="1" applyFill="1" applyBorder="1" applyAlignment="1" applyProtection="1">
      <alignment horizontal="center" vertical="top"/>
      <protection locked="0"/>
    </xf>
    <xf numFmtId="0" fontId="9" fillId="3" borderId="36" xfId="4849" applyFill="1" applyBorder="1" applyAlignment="1" applyProtection="1">
      <alignment vertical="top"/>
      <protection locked="0" hidden="1"/>
    </xf>
    <xf numFmtId="49" fontId="9" fillId="0" borderId="0" xfId="4849" applyNumberFormat="1" applyBorder="1" applyAlignment="1" applyProtection="1"/>
    <xf numFmtId="0" fontId="9" fillId="0" borderId="0" xfId="4849" applyBorder="1" applyAlignment="1" applyProtection="1">
      <alignment horizontal="left"/>
    </xf>
    <xf numFmtId="0" fontId="9" fillId="0" borderId="15" xfId="4849" applyAlignment="1">
      <alignment horizontal="left"/>
      <protection hidden="1"/>
    </xf>
    <xf numFmtId="3" fontId="16" fillId="43" borderId="7" xfId="14" applyNumberFormat="1" applyFont="1" applyFill="1" applyBorder="1" applyAlignment="1">
      <alignment horizontal="left" vertical="center" indent="1"/>
    </xf>
    <xf numFmtId="3" fontId="16" fillId="43" borderId="6" xfId="14" applyNumberFormat="1" applyFont="1" applyFill="1" applyBorder="1" applyAlignment="1">
      <alignment horizontal="left" vertical="center" indent="1"/>
    </xf>
    <xf numFmtId="3" fontId="16" fillId="43" borderId="38" xfId="14" applyNumberFormat="1" applyFont="1" applyFill="1" applyBorder="1" applyAlignment="1">
      <alignment horizontal="center" vertical="center"/>
    </xf>
    <xf numFmtId="3" fontId="16" fillId="43" borderId="32" xfId="14" applyNumberFormat="1" applyFont="1" applyFill="1" applyBorder="1" applyAlignment="1">
      <alignment horizontal="center" vertical="center"/>
    </xf>
    <xf numFmtId="0" fontId="10" fillId="0" borderId="0" xfId="2135"/>
    <xf numFmtId="3" fontId="12" fillId="50" borderId="6" xfId="14" applyNumberFormat="1" applyFont="1" applyFill="1" applyBorder="1" applyAlignment="1">
      <alignment horizontal="left" vertical="center" indent="1"/>
    </xf>
    <xf numFmtId="0" fontId="5" fillId="0" borderId="0" xfId="5075" applyAlignment="1">
      <alignment vertical="center"/>
    </xf>
    <xf numFmtId="0" fontId="12" fillId="0" borderId="57" xfId="14" applyFont="1" applyBorder="1" applyAlignment="1">
      <alignment horizontal="left" vertical="center" indent="3"/>
    </xf>
    <xf numFmtId="168" fontId="12" fillId="0" borderId="57" xfId="14" applyNumberFormat="1" applyFont="1" applyBorder="1" applyAlignment="1">
      <alignment horizontal="left" vertical="center" indent="3"/>
    </xf>
    <xf numFmtId="3" fontId="16" fillId="43" borderId="58" xfId="14" applyNumberFormat="1" applyFont="1" applyFill="1" applyBorder="1" applyAlignment="1">
      <alignment horizontal="left" vertical="center" indent="2"/>
    </xf>
    <xf numFmtId="1" fontId="12" fillId="50" borderId="59" xfId="14" quotePrefix="1" applyNumberFormat="1" applyFont="1" applyFill="1" applyBorder="1" applyAlignment="1">
      <alignment horizontal="left" vertical="center" indent="3"/>
    </xf>
    <xf numFmtId="49" fontId="9" fillId="0" borderId="60" xfId="14" quotePrefix="1" applyNumberFormat="1" applyBorder="1" applyAlignment="1">
      <alignment horizontal="left" vertical="top" wrapText="1" indent="3"/>
    </xf>
    <xf numFmtId="3" fontId="16" fillId="43" borderId="61" xfId="14" applyNumberFormat="1" applyFont="1" applyFill="1" applyBorder="1" applyAlignment="1">
      <alignment horizontal="left" vertical="center" indent="1"/>
    </xf>
    <xf numFmtId="3" fontId="16" fillId="50" borderId="56" xfId="14" applyNumberFormat="1" applyFont="1" applyFill="1" applyBorder="1" applyAlignment="1">
      <alignment horizontal="center" vertical="center"/>
    </xf>
    <xf numFmtId="0" fontId="9" fillId="0" borderId="0" xfId="1703"/>
    <xf numFmtId="0" fontId="80" fillId="0" borderId="0" xfId="5079" applyFont="1" applyAlignment="1">
      <alignment vertical="center"/>
    </xf>
    <xf numFmtId="0" fontId="79" fillId="0" borderId="0" xfId="1703" applyFont="1" applyAlignment="1">
      <alignment vertical="center"/>
    </xf>
    <xf numFmtId="0" fontId="17" fillId="0" borderId="0" xfId="5079"/>
    <xf numFmtId="0" fontId="17" fillId="0" borderId="0" xfId="5079" applyAlignment="1">
      <alignment horizontal="right"/>
    </xf>
    <xf numFmtId="0" fontId="82" fillId="0" borderId="62" xfId="5079" applyFont="1" applyBorder="1" applyAlignment="1">
      <alignment horizontal="left"/>
    </xf>
    <xf numFmtId="0" fontId="82" fillId="0" borderId="62" xfId="5079" applyFont="1" applyBorder="1" applyAlignment="1">
      <alignment horizontal="right"/>
    </xf>
    <xf numFmtId="0" fontId="72" fillId="53" borderId="41" xfId="2135" applyFont="1" applyFill="1" applyBorder="1" applyAlignment="1">
      <alignment horizontal="center" vertical="center"/>
    </xf>
    <xf numFmtId="0" fontId="72" fillId="53" borderId="40" xfId="2135" applyFont="1" applyFill="1" applyBorder="1" applyAlignment="1">
      <alignment horizontal="center" vertical="center"/>
    </xf>
    <xf numFmtId="0" fontId="5" fillId="55" borderId="0" xfId="5075" applyFill="1" applyAlignment="1">
      <alignment vertical="center"/>
    </xf>
    <xf numFmtId="0" fontId="7" fillId="48" borderId="70" xfId="0" applyFont="1" applyFill="1" applyBorder="1"/>
    <xf numFmtId="0" fontId="11" fillId="48" borderId="71" xfId="0" applyFont="1" applyFill="1" applyBorder="1"/>
    <xf numFmtId="0" fontId="72" fillId="53" borderId="4" xfId="2135" applyFont="1" applyFill="1" applyBorder="1" applyAlignment="1">
      <alignment horizontal="center" vertical="center"/>
    </xf>
    <xf numFmtId="193" fontId="5" fillId="0" borderId="0" xfId="5075" applyNumberFormat="1" applyAlignment="1">
      <alignment vertical="center"/>
    </xf>
    <xf numFmtId="0" fontId="83" fillId="56" borderId="64" xfId="0" applyFont="1" applyFill="1" applyBorder="1" applyAlignment="1">
      <alignment horizontal="right" vertical="center"/>
    </xf>
    <xf numFmtId="0" fontId="84" fillId="0" borderId="62" xfId="0" applyFont="1" applyBorder="1" applyAlignment="1">
      <alignment vertical="center" wrapText="1"/>
    </xf>
    <xf numFmtId="0" fontId="85" fillId="0" borderId="62" xfId="0" applyFont="1" applyBorder="1" applyAlignment="1">
      <alignment vertical="center" wrapText="1"/>
    </xf>
    <xf numFmtId="0" fontId="89" fillId="55" borderId="62" xfId="0" applyFont="1" applyFill="1" applyBorder="1" applyAlignment="1">
      <alignment vertical="center" wrapText="1"/>
    </xf>
    <xf numFmtId="0" fontId="84" fillId="0" borderId="36" xfId="0" applyFont="1" applyBorder="1" applyAlignment="1">
      <alignment vertical="center" wrapText="1"/>
    </xf>
    <xf numFmtId="0" fontId="84" fillId="0" borderId="12" xfId="0" applyFont="1" applyBorder="1" applyAlignment="1">
      <alignment vertical="center" wrapText="1"/>
    </xf>
    <xf numFmtId="0" fontId="84" fillId="0" borderId="73" xfId="0" applyFont="1" applyBorder="1" applyAlignment="1">
      <alignment vertical="center" wrapText="1"/>
    </xf>
    <xf numFmtId="0" fontId="90" fillId="57" borderId="66" xfId="5075" applyFont="1" applyFill="1" applyBorder="1" applyAlignment="1">
      <alignment vertical="center"/>
    </xf>
    <xf numFmtId="0" fontId="90" fillId="57" borderId="0" xfId="5075" applyFont="1" applyFill="1" applyAlignment="1">
      <alignment vertical="center"/>
    </xf>
    <xf numFmtId="0" fontId="90" fillId="57" borderId="63" xfId="5075" applyFont="1" applyFill="1" applyBorder="1" applyAlignment="1">
      <alignment vertical="center"/>
    </xf>
    <xf numFmtId="0" fontId="5" fillId="57" borderId="72" xfId="5075" applyFill="1" applyBorder="1" applyAlignment="1">
      <alignment vertical="center"/>
    </xf>
    <xf numFmtId="0" fontId="85" fillId="0" borderId="73" xfId="0" applyFont="1" applyBorder="1" applyAlignment="1">
      <alignment vertical="center" wrapText="1"/>
    </xf>
    <xf numFmtId="0" fontId="85" fillId="0" borderId="55" xfId="0" applyFont="1" applyBorder="1" applyAlignment="1">
      <alignment vertical="center" wrapText="1"/>
    </xf>
    <xf numFmtId="0" fontId="84" fillId="0" borderId="55" xfId="0" applyFont="1" applyBorder="1" applyAlignment="1">
      <alignment vertical="center" wrapText="1"/>
    </xf>
    <xf numFmtId="0" fontId="84" fillId="55" borderId="73" xfId="0" applyFont="1" applyFill="1" applyBorder="1" applyAlignment="1">
      <alignment vertical="center" wrapText="1"/>
    </xf>
    <xf numFmtId="0" fontId="9" fillId="0" borderId="6" xfId="1703" applyBorder="1"/>
    <xf numFmtId="0" fontId="79" fillId="0" borderId="6" xfId="1703" applyFont="1" applyBorder="1" applyAlignment="1">
      <alignment vertical="center"/>
    </xf>
    <xf numFmtId="0" fontId="17" fillId="0" borderId="6" xfId="5079" applyBorder="1"/>
    <xf numFmtId="0" fontId="17" fillId="0" borderId="56" xfId="5079" applyBorder="1"/>
    <xf numFmtId="0" fontId="26" fillId="0" borderId="0" xfId="1703" applyFont="1"/>
    <xf numFmtId="0" fontId="77" fillId="0" borderId="0" xfId="2135" applyFont="1" applyAlignment="1">
      <alignment horizontal="center" vertical="center"/>
    </xf>
    <xf numFmtId="0" fontId="78" fillId="53" borderId="11" xfId="2135" applyFont="1" applyFill="1" applyBorder="1" applyAlignment="1">
      <alignment horizontal="center" vertical="center"/>
    </xf>
    <xf numFmtId="0" fontId="1" fillId="0" borderId="0" xfId="5082"/>
    <xf numFmtId="0" fontId="84" fillId="0" borderId="76" xfId="0" applyFont="1" applyBorder="1" applyAlignment="1">
      <alignment vertical="center" wrapText="1"/>
    </xf>
    <xf numFmtId="0" fontId="84" fillId="0" borderId="77" xfId="0" applyFont="1" applyBorder="1" applyAlignment="1">
      <alignment vertical="center" wrapText="1"/>
    </xf>
    <xf numFmtId="0" fontId="84" fillId="0" borderId="78" xfId="0" applyFont="1" applyBorder="1" applyAlignment="1">
      <alignment vertical="center" wrapText="1"/>
    </xf>
    <xf numFmtId="0" fontId="84" fillId="0" borderId="79" xfId="0" applyFont="1" applyBorder="1" applyAlignment="1">
      <alignment vertical="center" wrapText="1"/>
    </xf>
    <xf numFmtId="0" fontId="87" fillId="0" borderId="76" xfId="0" applyFont="1" applyBorder="1" applyAlignment="1">
      <alignment vertical="center" wrapText="1"/>
    </xf>
    <xf numFmtId="0" fontId="84" fillId="55" borderId="76" xfId="0" applyFont="1" applyFill="1" applyBorder="1" applyAlignment="1">
      <alignment vertical="center" wrapText="1"/>
    </xf>
    <xf numFmtId="0" fontId="89" fillId="55" borderId="77" xfId="0" applyFont="1" applyFill="1" applyBorder="1" applyAlignment="1">
      <alignment vertical="center" wrapText="1"/>
    </xf>
    <xf numFmtId="0" fontId="84" fillId="0" borderId="34" xfId="0" applyFont="1" applyBorder="1" applyAlignment="1">
      <alignment vertical="center" wrapText="1"/>
    </xf>
    <xf numFmtId="0" fontId="78" fillId="53" borderId="74" xfId="2135" applyFont="1" applyFill="1" applyBorder="1" applyAlignment="1">
      <alignment horizontal="center" vertical="center"/>
    </xf>
    <xf numFmtId="0" fontId="78" fillId="53" borderId="75" xfId="2135" applyFont="1" applyFill="1" applyBorder="1" applyAlignment="1">
      <alignment horizontal="center" vertical="center"/>
    </xf>
    <xf numFmtId="0" fontId="78" fillId="53" borderId="69" xfId="2135" applyFont="1" applyFill="1" applyBorder="1" applyAlignment="1">
      <alignment horizontal="center" vertical="center"/>
    </xf>
    <xf numFmtId="0" fontId="78" fillId="53" borderId="65" xfId="2135" applyFont="1" applyFill="1" applyBorder="1" applyAlignment="1">
      <alignment horizontal="center" vertical="center"/>
    </xf>
    <xf numFmtId="0" fontId="39" fillId="0" borderId="62" xfId="5079" quotePrefix="1" applyFont="1" applyBorder="1" applyAlignment="1">
      <alignment horizontal="left" wrapText="1"/>
    </xf>
    <xf numFmtId="0" fontId="39" fillId="0" borderId="62" xfId="5079" applyFont="1" applyBorder="1" applyAlignment="1">
      <alignment horizontal="left" wrapText="1"/>
    </xf>
    <xf numFmtId="0" fontId="93" fillId="0" borderId="62" xfId="5079" quotePrefix="1" applyFont="1" applyBorder="1" applyAlignment="1">
      <alignment horizontal="center" wrapText="1"/>
    </xf>
    <xf numFmtId="0" fontId="81" fillId="0" borderId="62" xfId="5079" applyFont="1" applyBorder="1"/>
    <xf numFmtId="0" fontId="94" fillId="0" borderId="62" xfId="5079" applyFont="1" applyBorder="1" applyAlignment="1">
      <alignment horizontal="center"/>
    </xf>
    <xf numFmtId="0" fontId="26" fillId="0" borderId="62" xfId="1703" applyFont="1" applyBorder="1" applyAlignment="1">
      <alignment horizontal="center"/>
    </xf>
    <xf numFmtId="190" fontId="95" fillId="0" borderId="62" xfId="5079" applyNumberFormat="1" applyFont="1" applyBorder="1" applyAlignment="1">
      <alignment horizontal="center"/>
    </xf>
    <xf numFmtId="190" fontId="26" fillId="0" borderId="62" xfId="1703" applyNumberFormat="1" applyFont="1" applyBorder="1" applyAlignment="1">
      <alignment horizontal="center"/>
    </xf>
    <xf numFmtId="191" fontId="96" fillId="0" borderId="62" xfId="5080" applyNumberFormat="1" applyFont="1" applyBorder="1" applyAlignment="1">
      <alignment horizontal="center"/>
    </xf>
    <xf numFmtId="190" fontId="97" fillId="0" borderId="62" xfId="5079" applyNumberFormat="1" applyFont="1" applyBorder="1" applyAlignment="1">
      <alignment horizontal="center"/>
    </xf>
    <xf numFmtId="190" fontId="98" fillId="0" borderId="62" xfId="1703" applyNumberFormat="1" applyFont="1" applyBorder="1" applyAlignment="1">
      <alignment horizontal="center"/>
    </xf>
    <xf numFmtId="0" fontId="1" fillId="0" borderId="62" xfId="5082" applyBorder="1"/>
    <xf numFmtId="187" fontId="88" fillId="0" borderId="62" xfId="5082" applyNumberFormat="1" applyFont="1" applyBorder="1" applyAlignment="1">
      <alignment horizontal="left"/>
    </xf>
    <xf numFmtId="187" fontId="1" fillId="0" borderId="62" xfId="5082" applyNumberFormat="1" applyBorder="1"/>
    <xf numFmtId="191" fontId="96" fillId="0" borderId="62" xfId="5080" applyNumberFormat="1" applyFont="1" applyBorder="1" applyAlignment="1">
      <alignment horizontal="right"/>
    </xf>
    <xf numFmtId="0" fontId="99" fillId="58" borderId="62" xfId="5082" applyFont="1" applyFill="1" applyBorder="1" applyAlignment="1">
      <alignment vertical="center"/>
    </xf>
    <xf numFmtId="0" fontId="99" fillId="54" borderId="62" xfId="5082" applyFont="1" applyFill="1" applyBorder="1" applyAlignment="1">
      <alignment vertical="center"/>
    </xf>
    <xf numFmtId="0" fontId="72" fillId="53" borderId="11" xfId="2135" applyFont="1" applyFill="1" applyBorder="1" applyAlignment="1">
      <alignment horizontal="center" vertical="center"/>
    </xf>
    <xf numFmtId="0" fontId="1" fillId="56" borderId="35" xfId="2135" applyFont="1" applyFill="1" applyBorder="1"/>
    <xf numFmtId="0" fontId="12" fillId="0" borderId="83" xfId="325" applyFont="1" applyBorder="1" applyAlignment="1">
      <alignment horizontal="left" vertical="center" indent="1"/>
    </xf>
    <xf numFmtId="1" fontId="12" fillId="0" borderId="83" xfId="325" applyNumberFormat="1" applyFont="1" applyBorder="1" applyAlignment="1">
      <alignment horizontal="center" vertical="center" wrapText="1"/>
    </xf>
    <xf numFmtId="49" fontId="9" fillId="2" borderId="55" xfId="4849" applyNumberFormat="1" applyFill="1" applyBorder="1" applyAlignment="1" applyProtection="1">
      <alignment vertical="top" wrapText="1"/>
    </xf>
    <xf numFmtId="0" fontId="12" fillId="2" borderId="62" xfId="4849" applyFont="1" applyFill="1" applyBorder="1" applyAlignment="1" applyProtection="1">
      <alignment horizontal="center" vertical="top" wrapText="1"/>
    </xf>
    <xf numFmtId="0" fontId="12" fillId="2" borderId="62" xfId="4849" applyFont="1" applyFill="1" applyBorder="1" applyAlignment="1">
      <alignment horizontal="center" vertical="top" wrapText="1"/>
      <protection hidden="1"/>
    </xf>
    <xf numFmtId="0" fontId="12" fillId="2" borderId="60" xfId="4849" applyFont="1" applyFill="1" applyBorder="1" applyAlignment="1" applyProtection="1">
      <alignment horizontal="center" vertical="top" wrapText="1"/>
    </xf>
    <xf numFmtId="0" fontId="9" fillId="2" borderId="62" xfId="4849" applyFill="1" applyBorder="1" applyAlignment="1" applyProtection="1">
      <alignment horizontal="center" vertical="top" wrapText="1"/>
    </xf>
    <xf numFmtId="0" fontId="9" fillId="2" borderId="62" xfId="4849" applyFill="1" applyBorder="1" applyAlignment="1">
      <alignment horizontal="center" vertical="top" wrapText="1"/>
      <protection hidden="1"/>
    </xf>
    <xf numFmtId="49" fontId="9" fillId="44" borderId="62" xfId="4849" applyNumberFormat="1" applyFill="1" applyBorder="1" applyAlignment="1" applyProtection="1">
      <alignment vertical="top"/>
    </xf>
    <xf numFmtId="0" fontId="9" fillId="44" borderId="62" xfId="4849" applyFill="1" applyBorder="1" applyAlignment="1" applyProtection="1">
      <alignment vertical="top"/>
    </xf>
    <xf numFmtId="0" fontId="9" fillId="44" borderId="62" xfId="4849" applyFill="1" applyBorder="1" applyAlignment="1">
      <alignment vertical="top"/>
      <protection hidden="1"/>
    </xf>
    <xf numFmtId="49" fontId="9" fillId="2" borderId="62" xfId="4849" applyNumberFormat="1" applyFill="1" applyBorder="1" applyAlignment="1" applyProtection="1">
      <alignment vertical="top"/>
    </xf>
    <xf numFmtId="0" fontId="9" fillId="2" borderId="62" xfId="4849" applyFill="1" applyBorder="1" applyAlignment="1" applyProtection="1">
      <alignment vertical="top"/>
    </xf>
    <xf numFmtId="0" fontId="9" fillId="3" borderId="62" xfId="4849" applyFill="1" applyBorder="1" applyAlignment="1" applyProtection="1">
      <alignment horizontal="center" vertical="top"/>
      <protection locked="0"/>
    </xf>
    <xf numFmtId="177" fontId="17" fillId="45" borderId="81" xfId="325" applyNumberFormat="1" applyFont="1" applyFill="1" applyBorder="1" applyAlignment="1" applyProtection="1">
      <alignment horizontal="center"/>
      <protection locked="0"/>
    </xf>
    <xf numFmtId="10" fontId="9" fillId="3" borderId="62" xfId="4849" applyNumberFormat="1" applyFill="1" applyBorder="1" applyAlignment="1" applyProtection="1">
      <alignment horizontal="center" vertical="top"/>
      <protection locked="0"/>
    </xf>
    <xf numFmtId="0" fontId="9" fillId="3" borderId="62" xfId="4849" applyFill="1" applyBorder="1" applyAlignment="1" applyProtection="1">
      <alignment vertical="top"/>
      <protection locked="0" hidden="1"/>
    </xf>
    <xf numFmtId="178" fontId="17" fillId="45" borderId="81" xfId="325" applyNumberFormat="1" applyFont="1" applyFill="1" applyBorder="1" applyAlignment="1" applyProtection="1">
      <alignment horizontal="center"/>
      <protection locked="0"/>
    </xf>
    <xf numFmtId="179" fontId="17" fillId="45" borderId="81" xfId="325" applyNumberFormat="1" applyFont="1" applyFill="1" applyBorder="1" applyAlignment="1" applyProtection="1">
      <alignment horizontal="center"/>
      <protection locked="0"/>
    </xf>
    <xf numFmtId="180" fontId="17" fillId="45" borderId="81" xfId="325" applyNumberFormat="1" applyFont="1" applyFill="1" applyBorder="1" applyAlignment="1" applyProtection="1">
      <alignment horizontal="center"/>
      <protection locked="0"/>
    </xf>
    <xf numFmtId="181" fontId="17" fillId="45" borderId="81" xfId="325" applyNumberFormat="1" applyFont="1" applyFill="1" applyBorder="1" applyAlignment="1" applyProtection="1">
      <alignment horizontal="center"/>
      <protection locked="0"/>
    </xf>
    <xf numFmtId="0" fontId="9" fillId="45" borderId="62" xfId="4849" applyFill="1" applyBorder="1" applyAlignment="1" applyProtection="1">
      <alignment horizontal="center" vertical="top"/>
      <protection locked="0"/>
    </xf>
    <xf numFmtId="182" fontId="17" fillId="45" borderId="81" xfId="325" applyNumberFormat="1" applyFont="1" applyFill="1" applyBorder="1" applyAlignment="1" applyProtection="1">
      <alignment horizontal="center"/>
      <protection locked="0"/>
    </xf>
    <xf numFmtId="0" fontId="9" fillId="44" borderId="62" xfId="4849" applyFill="1" applyBorder="1" applyAlignment="1" applyProtection="1">
      <alignment vertical="top"/>
      <protection locked="0"/>
    </xf>
    <xf numFmtId="0" fontId="9" fillId="45" borderId="62" xfId="4849" applyFill="1" applyBorder="1" applyAlignment="1" applyProtection="1">
      <alignment vertical="top"/>
      <protection locked="0"/>
    </xf>
    <xf numFmtId="10" fontId="9" fillId="44" borderId="62" xfId="4849" applyNumberFormat="1" applyFill="1" applyBorder="1" applyAlignment="1" applyProtection="1">
      <alignment vertical="top"/>
      <protection locked="0"/>
    </xf>
    <xf numFmtId="0" fontId="9" fillId="44" borderId="62" xfId="4849" applyFill="1" applyBorder="1" applyAlignment="1" applyProtection="1">
      <alignment vertical="top"/>
      <protection locked="0" hidden="1"/>
    </xf>
    <xf numFmtId="183" fontId="17" fillId="45" borderId="81" xfId="325" applyNumberFormat="1" applyFont="1" applyFill="1" applyBorder="1" applyAlignment="1" applyProtection="1">
      <alignment horizontal="center"/>
      <protection locked="0"/>
    </xf>
    <xf numFmtId="0" fontId="0" fillId="3" borderId="62" xfId="4849" applyFont="1" applyFill="1" applyBorder="1" applyAlignment="1" applyProtection="1">
      <alignment horizontal="center" vertical="top"/>
      <protection locked="0"/>
    </xf>
    <xf numFmtId="184" fontId="17" fillId="45" borderId="81" xfId="325" applyNumberFormat="1" applyFont="1" applyFill="1" applyBorder="1" applyAlignment="1" applyProtection="1">
      <alignment horizontal="center"/>
      <protection locked="0"/>
    </xf>
    <xf numFmtId="0" fontId="9" fillId="2" borderId="58" xfId="4849" applyFill="1" applyBorder="1" applyAlignment="1" applyProtection="1">
      <alignment vertical="top"/>
    </xf>
    <xf numFmtId="0" fontId="9" fillId="3" borderId="55" xfId="4849" applyFill="1" applyBorder="1" applyAlignment="1" applyProtection="1">
      <alignment horizontal="center" vertical="top"/>
      <protection locked="0"/>
    </xf>
    <xf numFmtId="10" fontId="9" fillId="3" borderId="55" xfId="4849" applyNumberFormat="1" applyFill="1" applyBorder="1" applyAlignment="1" applyProtection="1">
      <alignment horizontal="center" vertical="top"/>
      <protection locked="0"/>
    </xf>
    <xf numFmtId="0" fontId="9" fillId="3" borderId="55" xfId="4849" applyFill="1" applyBorder="1" applyAlignment="1" applyProtection="1">
      <alignment vertical="top"/>
      <protection locked="0" hidden="1"/>
    </xf>
    <xf numFmtId="177" fontId="17" fillId="45" borderId="62" xfId="325" applyNumberFormat="1" applyFont="1" applyFill="1" applyBorder="1" applyAlignment="1" applyProtection="1">
      <alignment horizontal="center"/>
      <protection locked="0"/>
    </xf>
    <xf numFmtId="0" fontId="9" fillId="3" borderId="60" xfId="4849" applyFill="1" applyBorder="1" applyAlignment="1" applyProtection="1">
      <alignment vertical="top"/>
      <protection locked="0"/>
    </xf>
    <xf numFmtId="185" fontId="9" fillId="45" borderId="62" xfId="325" applyNumberFormat="1" applyFill="1" applyBorder="1" applyAlignment="1" applyProtection="1">
      <alignment horizontal="center" vertical="center"/>
      <protection locked="0"/>
    </xf>
    <xf numFmtId="0" fontId="12" fillId="2" borderId="58" xfId="4849" applyFont="1" applyFill="1" applyBorder="1" applyAlignment="1" applyProtection="1">
      <alignment vertical="top"/>
    </xf>
    <xf numFmtId="49" fontId="9" fillId="2" borderId="55" xfId="4849" applyNumberFormat="1" applyFill="1" applyBorder="1" applyAlignment="1" applyProtection="1">
      <alignment vertical="top"/>
    </xf>
    <xf numFmtId="185" fontId="9" fillId="45" borderId="62" xfId="325" applyNumberFormat="1" applyFill="1" applyBorder="1" applyAlignment="1" applyProtection="1">
      <alignment horizontal="center" vertical="center" wrapText="1"/>
      <protection locked="0"/>
    </xf>
    <xf numFmtId="0" fontId="9" fillId="2" borderId="55" xfId="4849" applyFill="1" applyBorder="1" applyAlignment="1" applyProtection="1">
      <alignment vertical="top"/>
    </xf>
    <xf numFmtId="185" fontId="17" fillId="45" borderId="81" xfId="325" applyNumberFormat="1" applyFont="1" applyFill="1" applyBorder="1" applyAlignment="1" applyProtection="1">
      <alignment horizontal="center"/>
      <protection locked="0"/>
    </xf>
    <xf numFmtId="185" fontId="17" fillId="45" borderId="62" xfId="325" applyNumberFormat="1" applyFont="1" applyFill="1" applyBorder="1" applyAlignment="1" applyProtection="1">
      <alignment horizontal="center"/>
      <protection locked="0"/>
    </xf>
    <xf numFmtId="1" fontId="13" fillId="50" borderId="16" xfId="1" applyNumberFormat="1" applyFill="1" applyBorder="1" applyAlignment="1" applyProtection="1">
      <alignment horizontal="center" vertical="center" wrapText="1"/>
      <protection locked="0"/>
    </xf>
    <xf numFmtId="0" fontId="13" fillId="50" borderId="17" xfId="1" applyFill="1" applyBorder="1" applyAlignment="1" applyProtection="1">
      <alignment horizontal="center" vertical="center" wrapText="1"/>
    </xf>
    <xf numFmtId="0" fontId="8" fillId="43" borderId="7" xfId="15" applyFont="1" applyFill="1" applyBorder="1" applyAlignment="1" applyProtection="1">
      <alignment horizontal="center" vertical="center"/>
    </xf>
    <xf numFmtId="0" fontId="8" fillId="43" borderId="11" xfId="15" applyFont="1" applyFill="1" applyBorder="1" applyAlignment="1" applyProtection="1">
      <alignment horizontal="center" vertical="center"/>
    </xf>
    <xf numFmtId="0" fontId="24" fillId="0" borderId="3" xfId="14" applyFont="1" applyBorder="1" applyAlignment="1">
      <alignment horizontal="center" vertical="center"/>
    </xf>
    <xf numFmtId="0" fontId="18" fillId="0" borderId="5" xfId="14" applyFont="1" applyBorder="1" applyAlignment="1">
      <alignment horizontal="center" vertical="center"/>
    </xf>
    <xf numFmtId="0" fontId="9" fillId="0" borderId="11" xfId="16" quotePrefix="1" applyNumberFormat="1" applyFont="1" applyFill="1" applyBorder="1" applyAlignment="1" applyProtection="1">
      <alignment horizontal="left" vertical="top" wrapText="1" indent="2"/>
    </xf>
    <xf numFmtId="0" fontId="0" fillId="0" borderId="9" xfId="0" applyBorder="1" applyAlignment="1">
      <alignment horizontal="left" vertical="top"/>
    </xf>
    <xf numFmtId="0" fontId="0" fillId="0" borderId="31" xfId="0" applyBorder="1" applyAlignment="1">
      <alignment horizontal="left" vertical="top" wrapText="1" indent="2"/>
    </xf>
    <xf numFmtId="0" fontId="0" fillId="0" borderId="57" xfId="0" applyBorder="1" applyAlignment="1">
      <alignment horizontal="left" vertical="top" wrapText="1" indent="2"/>
    </xf>
    <xf numFmtId="0" fontId="9" fillId="0" borderId="31" xfId="16" applyNumberFormat="1" applyFont="1" applyFill="1" applyBorder="1" applyAlignment="1" applyProtection="1">
      <alignment horizontal="left" vertical="top" wrapText="1" indent="2"/>
    </xf>
    <xf numFmtId="0" fontId="9" fillId="0" borderId="57" xfId="0" applyFont="1" applyBorder="1" applyAlignment="1">
      <alignment horizontal="left" vertical="top" wrapText="1" indent="2"/>
    </xf>
    <xf numFmtId="49" fontId="13" fillId="0" borderId="60" xfId="1" quotePrefix="1" applyNumberFormat="1" applyBorder="1" applyAlignment="1" applyProtection="1">
      <alignment horizontal="left" vertical="top" wrapText="1" indent="2"/>
    </xf>
    <xf numFmtId="49" fontId="13" fillId="0" borderId="54" xfId="1" quotePrefix="1" applyNumberFormat="1" applyBorder="1" applyAlignment="1" applyProtection="1">
      <alignment horizontal="left" vertical="top" wrapText="1" indent="2"/>
    </xf>
    <xf numFmtId="0" fontId="9" fillId="0" borderId="60" xfId="16" applyNumberFormat="1" applyFont="1" applyFill="1" applyBorder="1" applyAlignment="1" applyProtection="1">
      <alignment horizontal="left" vertical="top" wrapText="1" indent="2"/>
    </xf>
    <xf numFmtId="0" fontId="0" fillId="0" borderId="10" xfId="0" applyBorder="1" applyAlignment="1">
      <alignment horizontal="left" vertical="top" wrapText="1" indent="2"/>
    </xf>
    <xf numFmtId="0" fontId="0" fillId="0" borderId="30" xfId="0" applyBorder="1" applyAlignment="1">
      <alignment horizontal="left" vertical="top" wrapText="1" indent="2"/>
    </xf>
    <xf numFmtId="0" fontId="0" fillId="0" borderId="60" xfId="0" applyBorder="1" applyAlignment="1">
      <alignment horizontal="left" vertical="top" wrapText="1" indent="2"/>
    </xf>
    <xf numFmtId="192" fontId="78" fillId="0" borderId="71" xfId="0" applyNumberFormat="1" applyFont="1" applyBorder="1" applyAlignment="1">
      <alignment horizontal="center" vertical="center"/>
    </xf>
    <xf numFmtId="192" fontId="78" fillId="0" borderId="31" xfId="0" applyNumberFormat="1" applyFont="1" applyBorder="1" applyAlignment="1">
      <alignment horizontal="center" vertical="center"/>
    </xf>
    <xf numFmtId="192" fontId="78" fillId="0" borderId="37" xfId="0" applyNumberFormat="1" applyFont="1" applyBorder="1" applyAlignment="1">
      <alignment horizontal="center" vertical="center"/>
    </xf>
    <xf numFmtId="192" fontId="78" fillId="0" borderId="60" xfId="0" applyNumberFormat="1" applyFont="1" applyBorder="1" applyAlignment="1">
      <alignment horizontal="center" vertical="center"/>
    </xf>
    <xf numFmtId="192" fontId="78" fillId="0" borderId="30" xfId="0" applyNumberFormat="1" applyFont="1" applyBorder="1" applyAlignment="1">
      <alignment horizontal="center" vertical="center"/>
    </xf>
    <xf numFmtId="192" fontId="78" fillId="0" borderId="12" xfId="0" applyNumberFormat="1" applyFont="1" applyBorder="1" applyAlignment="1">
      <alignment horizontal="center" vertical="center"/>
    </xf>
    <xf numFmtId="192" fontId="78" fillId="0" borderId="62" xfId="0" applyNumberFormat="1" applyFont="1" applyBorder="1" applyAlignment="1">
      <alignment horizontal="center" vertical="center"/>
    </xf>
    <xf numFmtId="192" fontId="78" fillId="0" borderId="36" xfId="0" applyNumberFormat="1" applyFont="1" applyBorder="1" applyAlignment="1">
      <alignment horizontal="center" vertical="center"/>
    </xf>
    <xf numFmtId="0" fontId="78" fillId="53" borderId="40" xfId="2135" applyFont="1" applyFill="1" applyBorder="1" applyAlignment="1">
      <alignment horizontal="center" vertical="center"/>
    </xf>
    <xf numFmtId="0" fontId="78" fillId="53" borderId="4" xfId="2135" applyFont="1" applyFill="1" applyBorder="1" applyAlignment="1">
      <alignment horizontal="center" vertical="center"/>
    </xf>
    <xf numFmtId="187" fontId="78" fillId="0" borderId="12" xfId="0" applyNumberFormat="1" applyFont="1" applyBorder="1" applyAlignment="1">
      <alignment horizontal="center" vertical="center"/>
    </xf>
    <xf numFmtId="187" fontId="78" fillId="0" borderId="62" xfId="0" applyNumberFormat="1" applyFont="1" applyBorder="1" applyAlignment="1">
      <alignment horizontal="center" vertical="center"/>
    </xf>
    <xf numFmtId="187" fontId="78" fillId="0" borderId="36" xfId="0" applyNumberFormat="1" applyFont="1" applyBorder="1" applyAlignment="1">
      <alignment horizontal="center" vertical="center"/>
    </xf>
    <xf numFmtId="187" fontId="78" fillId="0" borderId="73" xfId="0" applyNumberFormat="1" applyFont="1" applyBorder="1" applyAlignment="1">
      <alignment horizontal="center" vertical="center"/>
    </xf>
    <xf numFmtId="193" fontId="78" fillId="0" borderId="12" xfId="0" applyNumberFormat="1" applyFont="1" applyBorder="1" applyAlignment="1">
      <alignment horizontal="center" vertical="center"/>
    </xf>
    <xf numFmtId="193" fontId="78" fillId="0" borderId="62" xfId="0" applyNumberFormat="1" applyFont="1" applyBorder="1" applyAlignment="1">
      <alignment horizontal="center" vertical="center"/>
    </xf>
    <xf numFmtId="193" fontId="78" fillId="0" borderId="36" xfId="0" applyNumberFormat="1" applyFont="1" applyBorder="1" applyAlignment="1">
      <alignment horizontal="center" vertical="center"/>
    </xf>
    <xf numFmtId="192" fontId="78" fillId="0" borderId="73" xfId="0" applyNumberFormat="1" applyFont="1" applyBorder="1" applyAlignment="1">
      <alignment horizontal="center" vertical="center"/>
    </xf>
    <xf numFmtId="192" fontId="78" fillId="0" borderId="55" xfId="0" applyNumberFormat="1" applyFont="1" applyBorder="1" applyAlignment="1">
      <alignment horizontal="center" vertical="center"/>
    </xf>
    <xf numFmtId="193" fontId="78" fillId="0" borderId="73" xfId="0" applyNumberFormat="1" applyFont="1" applyBorder="1" applyAlignment="1">
      <alignment horizontal="center" vertical="center"/>
    </xf>
    <xf numFmtId="193" fontId="78" fillId="0" borderId="55" xfId="0" applyNumberFormat="1" applyFont="1" applyBorder="1" applyAlignment="1">
      <alignment horizontal="center" vertical="center"/>
    </xf>
    <xf numFmtId="0" fontId="78" fillId="53" borderId="41" xfId="2135" applyFont="1" applyFill="1" applyBorder="1" applyAlignment="1">
      <alignment horizontal="center" vertical="center"/>
    </xf>
    <xf numFmtId="187" fontId="78" fillId="0" borderId="32" xfId="0" applyNumberFormat="1" applyFont="1" applyBorder="1" applyAlignment="1">
      <alignment horizontal="center" vertical="center"/>
    </xf>
    <xf numFmtId="187" fontId="78" fillId="0" borderId="13" xfId="0" applyNumberFormat="1" applyFont="1" applyBorder="1" applyAlignment="1">
      <alignment horizontal="center" vertical="center"/>
    </xf>
    <xf numFmtId="187" fontId="78" fillId="0" borderId="35" xfId="0" applyNumberFormat="1" applyFont="1" applyBorder="1" applyAlignment="1">
      <alignment horizontal="center" vertical="center"/>
    </xf>
    <xf numFmtId="187" fontId="78" fillId="0" borderId="70" xfId="0" applyNumberFormat="1" applyFont="1" applyBorder="1" applyAlignment="1">
      <alignment horizontal="center" vertical="center"/>
    </xf>
    <xf numFmtId="187" fontId="78" fillId="0" borderId="58" xfId="0" applyNumberFormat="1" applyFont="1" applyBorder="1" applyAlignment="1">
      <alignment horizontal="center" vertical="center"/>
    </xf>
    <xf numFmtId="187" fontId="78" fillId="0" borderId="55" xfId="0" applyNumberFormat="1" applyFont="1" applyBorder="1" applyAlignment="1">
      <alignment horizontal="center" vertical="center"/>
    </xf>
    <xf numFmtId="187" fontId="78" fillId="0" borderId="68" xfId="0" applyNumberFormat="1" applyFont="1" applyBorder="1" applyAlignment="1">
      <alignment horizontal="center" vertical="center"/>
    </xf>
    <xf numFmtId="187" fontId="78" fillId="0" borderId="33" xfId="0" applyNumberFormat="1" applyFont="1" applyBorder="1" applyAlignment="1">
      <alignment horizontal="center" vertical="center"/>
    </xf>
    <xf numFmtId="187" fontId="78" fillId="0" borderId="67" xfId="0" applyNumberFormat="1" applyFont="1" applyBorder="1" applyAlignment="1">
      <alignment horizontal="center" vertical="center"/>
    </xf>
    <xf numFmtId="189" fontId="90" fillId="0" borderId="31" xfId="0" applyNumberFormat="1" applyFont="1" applyBorder="1" applyAlignment="1">
      <alignment horizontal="center" vertical="center"/>
    </xf>
    <xf numFmtId="187" fontId="78" fillId="0" borderId="31" xfId="0" applyNumberFormat="1" applyFont="1" applyBorder="1" applyAlignment="1">
      <alignment horizontal="center" vertical="center"/>
    </xf>
    <xf numFmtId="192" fontId="90" fillId="0" borderId="81" xfId="5075" applyNumberFormat="1" applyFont="1" applyBorder="1" applyAlignment="1">
      <alignment horizontal="center" vertical="center"/>
    </xf>
    <xf numFmtId="189" fontId="91" fillId="0" borderId="31" xfId="0" applyNumberFormat="1" applyFont="1" applyBorder="1" applyAlignment="1">
      <alignment horizontal="center" vertical="center"/>
    </xf>
    <xf numFmtId="0" fontId="90" fillId="0" borderId="32" xfId="0" applyFont="1" applyBorder="1" applyAlignment="1">
      <alignment horizontal="center" vertical="center" wrapText="1"/>
    </xf>
    <xf numFmtId="0" fontId="90" fillId="0" borderId="13" xfId="0" applyFont="1" applyBorder="1" applyAlignment="1">
      <alignment horizontal="center" vertical="center" wrapText="1"/>
    </xf>
    <xf numFmtId="0" fontId="90" fillId="0" borderId="35" xfId="0" applyFont="1" applyBorder="1" applyAlignment="1">
      <alignment horizontal="center" vertical="center" wrapText="1"/>
    </xf>
    <xf numFmtId="187" fontId="78" fillId="0" borderId="37" xfId="0" applyNumberFormat="1" applyFont="1" applyBorder="1" applyAlignment="1">
      <alignment horizontal="center" vertical="center"/>
    </xf>
    <xf numFmtId="192" fontId="90" fillId="0" borderId="82" xfId="5075" applyNumberFormat="1" applyFont="1" applyBorder="1" applyAlignment="1">
      <alignment horizontal="center" vertical="center"/>
    </xf>
    <xf numFmtId="189" fontId="90" fillId="0" borderId="37" xfId="0" applyNumberFormat="1" applyFont="1" applyBorder="1" applyAlignment="1">
      <alignment horizontal="center" vertical="center"/>
    </xf>
    <xf numFmtId="0" fontId="90" fillId="0" borderId="70" xfId="0" applyFont="1" applyBorder="1" applyAlignment="1">
      <alignment horizontal="center" vertical="center" wrapText="1"/>
    </xf>
    <xf numFmtId="187" fontId="72" fillId="0" borderId="13" xfId="0" applyNumberFormat="1" applyFont="1" applyBorder="1" applyAlignment="1">
      <alignment horizontal="center" vertical="center" wrapText="1"/>
    </xf>
    <xf numFmtId="187" fontId="72" fillId="0" borderId="35" xfId="0" applyNumberFormat="1" applyFont="1" applyBorder="1" applyAlignment="1">
      <alignment horizontal="center" vertical="center" wrapText="1"/>
    </xf>
    <xf numFmtId="0" fontId="90" fillId="0" borderId="58" xfId="0" applyFont="1" applyBorder="1" applyAlignment="1">
      <alignment horizontal="center" vertical="center" wrapText="1"/>
    </xf>
    <xf numFmtId="0" fontId="90" fillId="0" borderId="68" xfId="0" applyFont="1" applyBorder="1" applyAlignment="1">
      <alignment horizontal="center" vertical="center" wrapText="1"/>
    </xf>
    <xf numFmtId="0" fontId="90" fillId="0" borderId="33" xfId="0" applyFont="1" applyBorder="1" applyAlignment="1">
      <alignment horizontal="center" vertical="center" wrapText="1"/>
    </xf>
    <xf numFmtId="0" fontId="90" fillId="0" borderId="67" xfId="0" applyFont="1" applyBorder="1" applyAlignment="1">
      <alignment horizontal="center" vertical="center" wrapText="1"/>
    </xf>
    <xf numFmtId="187" fontId="92" fillId="0" borderId="62" xfId="0" applyNumberFormat="1" applyFont="1" applyBorder="1" applyAlignment="1">
      <alignment horizontal="center" vertical="center"/>
    </xf>
    <xf numFmtId="187" fontId="100" fillId="0" borderId="73" xfId="0" applyNumberFormat="1" applyFont="1" applyBorder="1" applyAlignment="1">
      <alignment horizontal="center" vertical="center"/>
    </xf>
    <xf numFmtId="187" fontId="100" fillId="0" borderId="62" xfId="0" applyNumberFormat="1" applyFont="1" applyBorder="1" applyAlignment="1">
      <alignment horizontal="center" vertical="center"/>
    </xf>
    <xf numFmtId="187" fontId="72" fillId="0" borderId="73" xfId="0" applyNumberFormat="1" applyFont="1" applyBorder="1" applyAlignment="1">
      <alignment horizontal="center" vertical="center"/>
    </xf>
    <xf numFmtId="187" fontId="72" fillId="0" borderId="62" xfId="0" applyNumberFormat="1" applyFont="1" applyBorder="1" applyAlignment="1">
      <alignment horizontal="center" vertical="center"/>
    </xf>
    <xf numFmtId="187" fontId="72" fillId="0" borderId="71" xfId="0" applyNumberFormat="1" applyFont="1" applyBorder="1" applyAlignment="1">
      <alignment horizontal="center" vertical="center"/>
    </xf>
    <xf numFmtId="187" fontId="72" fillId="0" borderId="31" xfId="0" applyNumberFormat="1" applyFont="1" applyBorder="1" applyAlignment="1">
      <alignment horizontal="center" vertical="center"/>
    </xf>
    <xf numFmtId="187" fontId="72" fillId="0" borderId="70" xfId="0" applyNumberFormat="1" applyFont="1" applyBorder="1" applyAlignment="1">
      <alignment horizontal="center" vertical="center" wrapText="1"/>
    </xf>
    <xf numFmtId="0" fontId="77" fillId="0" borderId="0" xfId="2135" applyFont="1" applyAlignment="1">
      <alignment horizontal="center" vertical="center"/>
    </xf>
    <xf numFmtId="189" fontId="90" fillId="0" borderId="71" xfId="0" applyNumberFormat="1" applyFont="1" applyBorder="1" applyAlignment="1">
      <alignment horizontal="center" vertical="center"/>
    </xf>
    <xf numFmtId="192" fontId="90" fillId="0" borderId="80" xfId="5075" applyNumberFormat="1" applyFont="1" applyBorder="1" applyAlignment="1">
      <alignment horizontal="center" vertical="center"/>
    </xf>
    <xf numFmtId="0" fontId="78" fillId="53" borderId="7" xfId="2135" applyFont="1" applyFill="1" applyBorder="1" applyAlignment="1">
      <alignment horizontal="center" vertical="center"/>
    </xf>
    <xf numFmtId="0" fontId="78" fillId="53" borderId="11" xfId="2135" applyFont="1" applyFill="1" applyBorder="1" applyAlignment="1">
      <alignment horizontal="center" vertical="center"/>
    </xf>
    <xf numFmtId="0" fontId="22" fillId="2" borderId="16" xfId="4849" applyFont="1" applyFill="1" applyBorder="1" applyAlignment="1" applyProtection="1">
      <alignment horizontal="center" vertical="center"/>
    </xf>
    <xf numFmtId="0" fontId="22" fillId="2" borderId="29" xfId="4849" applyFont="1" applyFill="1" applyBorder="1" applyAlignment="1" applyProtection="1">
      <alignment horizontal="center" vertical="center"/>
    </xf>
    <xf numFmtId="0" fontId="22" fillId="2" borderId="17" xfId="4849" applyFont="1" applyFill="1" applyBorder="1" applyAlignment="1" applyProtection="1">
      <alignment horizontal="center" vertical="center"/>
    </xf>
    <xf numFmtId="0" fontId="12" fillId="2" borderId="13" xfId="4849" applyFont="1" applyFill="1" applyBorder="1" applyAlignment="1" applyProtection="1">
      <alignment vertical="top" wrapText="1"/>
    </xf>
    <xf numFmtId="0" fontId="9" fillId="0" borderId="13" xfId="325" applyBorder="1" applyAlignment="1"/>
    <xf numFmtId="0" fontId="12" fillId="2" borderId="62" xfId="4849" applyFont="1" applyFill="1" applyBorder="1" applyAlignment="1" applyProtection="1">
      <alignment vertical="top" wrapText="1"/>
    </xf>
    <xf numFmtId="0" fontId="9" fillId="0" borderId="62" xfId="325" applyBorder="1" applyAlignment="1"/>
  </cellXfs>
  <cellStyles count="5083">
    <cellStyle name=" 1" xfId="17" xr:uid="{00000000-0005-0000-0000-000000000000}"/>
    <cellStyle name="_x000d__x000a_JournalTemplate=C:\COMFO\CTALK\JOURSTD.TPL_x000d__x000a_LbStateAddress=3 3 0 251 1 89 2 311_x000d__x000a_LbStateJou" xfId="18" xr:uid="{00000000-0005-0000-0000-000001000000}"/>
    <cellStyle name="_x000d__x000a_JournalTemplate=C:\COMFO\CTALK\JOURSTD.TPL_x000d__x000a_LbStateAddress=3 3 0 251 1 89 2 311_x000d__x000a_LbStateJou 2" xfId="19" xr:uid="{00000000-0005-0000-0000-000002000000}"/>
    <cellStyle name="_x000d__x000a_JournalTemplate=C:\COMFO\CTALK\JOURSTD.TPL_x000d__x000a_LbStateAddress=3 3 0 251 1 89 2 311_x000d__x000a_LbStateJou 2 2" xfId="20" xr:uid="{00000000-0005-0000-0000-000003000000}"/>
    <cellStyle name="_x000d__x000a_JournalTemplate=C:\COMFO\CTALK\JOURSTD.TPL_x000d__x000a_LbStateAddress=3 3 0 251 1 89 2 311_x000d__x000a_LbStateJou 3" xfId="21" xr:uid="{00000000-0005-0000-0000-000004000000}"/>
    <cellStyle name="_x000d__x000a_JournalTemplate=C:\COMFO\CTALK\JOURSTD.TPL_x000d__x000a_LbStateAddress=3 3 0 251 1 89 2 311_x000d__x000a_LbStateJou 3 2" xfId="22" xr:uid="{00000000-0005-0000-0000-000005000000}"/>
    <cellStyle name="_x000d__x000a_JournalTemplate=C:\COMFO\CTALK\JOURSTD.TPL_x000d__x000a_LbStateAddress=3 3 0 251 1 89 2 311_x000d__x000a_LbStateJou 4" xfId="23" xr:uid="{00000000-0005-0000-0000-000006000000}"/>
    <cellStyle name="_x000d__x000a_JournalTemplate=C:\COMFO\CTALK\JOURSTD.TPL_x000d__x000a_LbStateAddress=3 3 0 251 1 89 2 311_x000d__x000a_LbStateJou_eBidding structure - HW" xfId="24" xr:uid="{00000000-0005-0000-0000-000007000000}"/>
    <cellStyle name="%" xfId="4884" xr:uid="{00000000-0005-0000-0000-000008000000}"/>
    <cellStyle name="%_1 7  Low Cost RFI - Mirror Network" xfId="4885" xr:uid="{00000000-0005-0000-0000-000009000000}"/>
    <cellStyle name="%_1.6 – Low Cost RFI - Mirror Network" xfId="4886" xr:uid="{00000000-0005-0000-0000-00000A000000}"/>
    <cellStyle name="_1) Business Criteria" xfId="25" xr:uid="{00000000-0005-0000-0000-00000B000000}"/>
    <cellStyle name="_1) Business Criteria 2" xfId="26" xr:uid="{00000000-0005-0000-0000-00000C000000}"/>
    <cellStyle name="_1) Business Criteria_Configurations FSC" xfId="27" xr:uid="{00000000-0005-0000-0000-00000D000000}"/>
    <cellStyle name="_1) Business Criteria_Configurations FSC 2" xfId="28" xr:uid="{00000000-0005-0000-0000-00000E000000}"/>
    <cellStyle name="_1) Business Criteria_FTS" xfId="29" xr:uid="{00000000-0005-0000-0000-00000F000000}"/>
    <cellStyle name="_1) Business Criteria_FTS 2" xfId="30" xr:uid="{00000000-0005-0000-0000-000010000000}"/>
    <cellStyle name="_2) Pricing" xfId="31" xr:uid="{00000000-0005-0000-0000-000011000000}"/>
    <cellStyle name="_2) Pricing 2" xfId="32" xr:uid="{00000000-0005-0000-0000-000012000000}"/>
    <cellStyle name="_2) Pricing_Configurations FSC" xfId="33" xr:uid="{00000000-0005-0000-0000-000013000000}"/>
    <cellStyle name="_2) Pricing_Configurations FSC 2" xfId="34" xr:uid="{00000000-0005-0000-0000-000014000000}"/>
    <cellStyle name="_2) Pricing_FTS" xfId="35" xr:uid="{00000000-0005-0000-0000-000015000000}"/>
    <cellStyle name="_2) Pricing_FTS 2" xfId="36" xr:uid="{00000000-0005-0000-0000-000016000000}"/>
    <cellStyle name="_2008-07-23_Renewal SIS Intel Server HW Basket" xfId="37" xr:uid="{00000000-0005-0000-0000-000017000000}"/>
    <cellStyle name="_2008-07-23_Renewal SIS Intel Server HW Basket 2" xfId="38" xr:uid="{00000000-0005-0000-0000-000018000000}"/>
    <cellStyle name="_2008-07-23_Renewal SIS Intel Server HW Basket_Configurations FSC" xfId="39" xr:uid="{00000000-0005-0000-0000-000019000000}"/>
    <cellStyle name="_2008-07-23_Renewal SIS Intel Server HW Basket_Configurations FSC 2" xfId="40" xr:uid="{00000000-0005-0000-0000-00001A000000}"/>
    <cellStyle name="_2008-07-23_Renewal SIS Intel Server HW Basket_FTS" xfId="41" xr:uid="{00000000-0005-0000-0000-00001B000000}"/>
    <cellStyle name="_2008-07-23_Renewal SIS Intel Server HW Basket_FTS 2" xfId="42" xr:uid="{00000000-0005-0000-0000-00001C000000}"/>
    <cellStyle name="_2009-02-01_Renewal SIS Intel Server HW Basket_HP 20-01-2009" xfId="43" xr:uid="{00000000-0005-0000-0000-00001D000000}"/>
    <cellStyle name="_2009-02-01_Renewal SIS Intel Server HW Basket_HP 20-01-2009 2" xfId="44" xr:uid="{00000000-0005-0000-0000-00001E000000}"/>
    <cellStyle name="_2009-02-01_Renewal SIS Intel Server HW Basket_HP 20-01-2009 3" xfId="45" xr:uid="{00000000-0005-0000-0000-00001F000000}"/>
    <cellStyle name="_2009-02-01_Renewal SIS Intel Server HW Basket_HP 20-01-2009 orig" xfId="46" xr:uid="{00000000-0005-0000-0000-000020000000}"/>
    <cellStyle name="_2009-02-01_Renewal SIS Intel Server HW Basket_HP 20-01-2009 orig 2" xfId="47" xr:uid="{00000000-0005-0000-0000-000021000000}"/>
    <cellStyle name="_2009-02-01_Renewal SIS Intel Server HW Basket_HP 20-01-2009 orig 3" xfId="48" xr:uid="{00000000-0005-0000-0000-000022000000}"/>
    <cellStyle name="_2009-02-01_Renewal SIS Intel Server HW Basket_HP 20-01-2009 orig_2010-06-01_Intel Server Basket_HP May 2010 (2)" xfId="49" xr:uid="{00000000-0005-0000-0000-000023000000}"/>
    <cellStyle name="_2009-02-01_Renewal SIS Intel Server HW Basket_HP 20-01-2009 orig_2010-06-01_Intel Server Basket_HP May 2010 (2) 2" xfId="50" xr:uid="{00000000-0005-0000-0000-000024000000}"/>
    <cellStyle name="_2009-02-01_Renewal SIS Intel Server HW Basket_HP 20-01-2009 orig_2010-06-01_Intel Server Basket_HP May 2010 (2)_2010-09-15_Intel Sever Basket_HP V6" xfId="51" xr:uid="{00000000-0005-0000-0000-000025000000}"/>
    <cellStyle name="_2009-02-01_Renewal SIS Intel Server HW Basket_HP 20-01-2009 orig_2010-06-01_Intel Server Basket_HP May 2010 (2)_2010-09-15_Intel Sever Basket_HP V6 2" xfId="52" xr:uid="{00000000-0005-0000-0000-000026000000}"/>
    <cellStyle name="_2009-02-01_Renewal SIS Intel Server HW Basket_HP 20-01-2009 orig_Configurations FSC" xfId="53" xr:uid="{00000000-0005-0000-0000-000027000000}"/>
    <cellStyle name="_2009-02-01_Renewal SIS Intel Server HW Basket_HP 20-01-2009 orig_Configurations FSC 2" xfId="54" xr:uid="{00000000-0005-0000-0000-000028000000}"/>
    <cellStyle name="_2009-02-01_Renewal SIS Intel Server HW Basket_HP 20-01-2009 orig_Configurations FSC_2010-06-01_Intel Server Basket_HP May 2010 (2)" xfId="55" xr:uid="{00000000-0005-0000-0000-000029000000}"/>
    <cellStyle name="_2009-02-01_Renewal SIS Intel Server HW Basket_HP 20-01-2009 orig_Configurations FSC_2010-06-01_Intel Server Basket_HP May 2010 (2) 2" xfId="56" xr:uid="{00000000-0005-0000-0000-00002A000000}"/>
    <cellStyle name="_2009-02-01_Renewal SIS Intel Server HW Basket_HP 20-01-2009 orig_Configurations FSC_2010-06-01_Intel Server Basket_HP May 2010 (2)_2010-09-15_Intel Sever Basket_HP V6" xfId="57" xr:uid="{00000000-0005-0000-0000-00002B000000}"/>
    <cellStyle name="_2009-02-01_Renewal SIS Intel Server HW Basket_HP 20-01-2009 orig_Configurations FSC_2010-06-01_Intel Server Basket_HP May 2010 (2)_2010-09-15_Intel Sever Basket_HP V6 2" xfId="58" xr:uid="{00000000-0005-0000-0000-00002C000000}"/>
    <cellStyle name="_2009-02-01_Renewal SIS Intel Server HW Basket_HP 20-01-2009 orig_Configurations FSC_Maintenance" xfId="59" xr:uid="{00000000-0005-0000-0000-00002D000000}"/>
    <cellStyle name="_2009-02-01_Renewal SIS Intel Server HW Basket_HP 20-01-2009 orig_Configurations FSC_Maintenance prices" xfId="60" xr:uid="{00000000-0005-0000-0000-00002E000000}"/>
    <cellStyle name="_2009-02-01_Renewal SIS Intel Server HW Basket_HP 20-01-2009 orig_eBidding structure - HW" xfId="61" xr:uid="{00000000-0005-0000-0000-00002F000000}"/>
    <cellStyle name="_2009-02-01_Renewal SIS Intel Server HW Basket_HP 20-01-2009 orig_FIT List_Dell" xfId="62" xr:uid="{00000000-0005-0000-0000-000030000000}"/>
    <cellStyle name="_2009-02-01_Renewal SIS Intel Server HW Basket_HP 20-01-2009 orig_FIT List_Dell_1" xfId="63" xr:uid="{00000000-0005-0000-0000-000031000000}"/>
    <cellStyle name="_2009-02-01_Renewal SIS Intel Server HW Basket_HP 20-01-2009 orig_FIT List_FTS" xfId="64" xr:uid="{00000000-0005-0000-0000-000032000000}"/>
    <cellStyle name="_2009-02-01_Renewal SIS Intel Server HW Basket_HP 20-01-2009 orig_FIT List_FTS_1" xfId="65" xr:uid="{00000000-0005-0000-0000-000033000000}"/>
    <cellStyle name="_2009-02-01_Renewal SIS Intel Server HW Basket_HP 20-01-2009 orig_FIT List_HP" xfId="66" xr:uid="{00000000-0005-0000-0000-000034000000}"/>
    <cellStyle name="_2009-02-01_Renewal SIS Intel Server HW Basket_HP 20-01-2009 orig_FIT List_IBM" xfId="67" xr:uid="{00000000-0005-0000-0000-000035000000}"/>
    <cellStyle name="_2009-02-01_Renewal SIS Intel Server HW Basket_HP 20-01-2009 orig_FIT List_IBM HW" xfId="68" xr:uid="{00000000-0005-0000-0000-000036000000}"/>
    <cellStyle name="_2009-02-01_Renewal SIS Intel Server HW Basket_HP 20-01-2009 orig_FTS" xfId="69" xr:uid="{00000000-0005-0000-0000-000037000000}"/>
    <cellStyle name="_2009-02-01_Renewal SIS Intel Server HW Basket_HP 20-01-2009 orig_FTS 2" xfId="70" xr:uid="{00000000-0005-0000-0000-000038000000}"/>
    <cellStyle name="_2009-02-01_Renewal SIS Intel Server HW Basket_HP 20-01-2009 orig_FTS 2 2" xfId="71" xr:uid="{00000000-0005-0000-0000-000039000000}"/>
    <cellStyle name="_2009-02-01_Renewal SIS Intel Server HW Basket_HP 20-01-2009 orig_FTS_2010-06-01_Intel Server Basket_HP May 2010 (2)" xfId="72" xr:uid="{00000000-0005-0000-0000-00003A000000}"/>
    <cellStyle name="_2009-02-01_Renewal SIS Intel Server HW Basket_HP 20-01-2009 orig_FTS_2010-06-01_Intel Server Basket_HP May 2010 (2) 2" xfId="73" xr:uid="{00000000-0005-0000-0000-00003B000000}"/>
    <cellStyle name="_2009-02-01_Renewal SIS Intel Server HW Basket_HP 20-01-2009 orig_FTS_2010-06-01_Intel Server Basket_HP May 2010 (2)_2010-09-15_Intel Sever Basket_HP V6" xfId="74" xr:uid="{00000000-0005-0000-0000-00003C000000}"/>
    <cellStyle name="_2009-02-01_Renewal SIS Intel Server HW Basket_HP 20-01-2009 orig_FTS_2010-06-01_Intel Server Basket_HP May 2010 (2)_2010-09-15_Intel Sever Basket_HP V6 2" xfId="75" xr:uid="{00000000-0005-0000-0000-00003D000000}"/>
    <cellStyle name="_2009-02-01_Renewal SIS Intel Server HW Basket_HP 20-01-2009 orig_FTS_Maintenance" xfId="76" xr:uid="{00000000-0005-0000-0000-00003E000000}"/>
    <cellStyle name="_2009-02-01_Renewal SIS Intel Server HW Basket_HP 20-01-2009 orig_FTS_Maintenance prices" xfId="77" xr:uid="{00000000-0005-0000-0000-00003F000000}"/>
    <cellStyle name="_2009-02-01_Renewal SIS Intel Server HW Basket_HP 20-01-2009 orig_Hardware prices" xfId="78" xr:uid="{00000000-0005-0000-0000-000040000000}"/>
    <cellStyle name="_2009-02-01_Renewal SIS Intel Server HW Basket_HP 20-01-2009 orig_Hardware Startprices " xfId="79" xr:uid="{00000000-0005-0000-0000-000041000000}"/>
    <cellStyle name="_2009-02-01_Renewal SIS Intel Server HW Basket_HP 20-01-2009 orig_Maintenance" xfId="80" xr:uid="{00000000-0005-0000-0000-000042000000}"/>
    <cellStyle name="_2009-02-01_Renewal SIS Intel Server HW Basket_HP 20-01-2009 orig_Maintenance prices" xfId="81" xr:uid="{00000000-0005-0000-0000-000043000000}"/>
    <cellStyle name="_2009-02-01_Renewal SIS Intel Server HW Basket_HP 20-01-2009 orig_Maintenance prices_1" xfId="82" xr:uid="{00000000-0005-0000-0000-000044000000}"/>
    <cellStyle name="_2009-02-01_Renewal SIS Intel Server HW Basket_HP 20-01-2009 orig_Maintenance Startprices" xfId="83" xr:uid="{00000000-0005-0000-0000-000045000000}"/>
    <cellStyle name="_2009-02-01_Renewal SIS Intel Server HW Basket_HP 20-01-2009 orig_Maintenance Startprices_1" xfId="84" xr:uid="{00000000-0005-0000-0000-000046000000}"/>
    <cellStyle name="_2009-02-01_Renewal SIS Intel Server HW Basket_HP 20-01-2009 orig_Maintenance_1" xfId="85" xr:uid="{00000000-0005-0000-0000-000047000000}"/>
    <cellStyle name="_2009-02-01_Renewal SIS Intel Server HW Basket_HP 20-01-2009 orig_Maintenance_Maintenance prices" xfId="86" xr:uid="{00000000-0005-0000-0000-000048000000}"/>
    <cellStyle name="_2009-02-01_Renewal SIS Intel Server HW Basket_HP 20-01-2009 orig_RfQ_SIS Intel Server HW Basket Dell Aug 2009 (2)" xfId="87" xr:uid="{00000000-0005-0000-0000-000049000000}"/>
    <cellStyle name="_2009-02-01_Renewal SIS Intel Server HW Basket_HP 20-01-2009 orig_RfQ_SIS Intel Server HW Basket Dell Aug 2009 (2) 2" xfId="88" xr:uid="{00000000-0005-0000-0000-00004A000000}"/>
    <cellStyle name="_2009-02-01_Renewal SIS Intel Server HW Basket_HP 20-01-2009 orig_RfQ_SIS Intel Server HW Basket Dell Aug 2009 (2)_2010-06-01_Intel Server Basket_Dell_21052010" xfId="89" xr:uid="{00000000-0005-0000-0000-00004B000000}"/>
    <cellStyle name="_2009-02-01_Renewal SIS Intel Server HW Basket_HP 20-01-2009 orig_RfQ_SIS Intel Server HW Basket Dell Aug 2009 (2)_2010-06-01_Intel Server Basket_Dell_21052010 2" xfId="90" xr:uid="{00000000-0005-0000-0000-00004C000000}"/>
    <cellStyle name="_2009-02-01_Renewal SIS Intel Server HW Basket_HP 20-01-2009 orig_RfQ_SIS Intel Server HW Basket Dell Aug 2009 (2)_2010-09-15_Intel Sever Basket_HP V6" xfId="91" xr:uid="{00000000-0005-0000-0000-00004D000000}"/>
    <cellStyle name="_2009-02-01_Renewal SIS Intel Server HW Basket_HP 20-01-2009 orig_RfQ_SIS Intel Server HW Basket Dell Aug 2009 (2)_2010-09-15_Intel Sever Basket_HP V6 2" xfId="92" xr:uid="{00000000-0005-0000-0000-00004E000000}"/>
    <cellStyle name="_2009-02-01_Renewal SIS Intel Server HW Basket_HP 20-01-2009 orig_RfQ_SIS Intel Server HW Basket Dell Aug 2009 (2)_Intel_Server_Basket" xfId="93" xr:uid="{00000000-0005-0000-0000-00004F000000}"/>
    <cellStyle name="_2009-02-01_Renewal SIS Intel Server HW Basket_HP 20-01-2009 orig_RfQ_SIS Intel Server HW Basket Dell Aug 2009 (2)_Intel_Server_Basket 2" xfId="94" xr:uid="{00000000-0005-0000-0000-000050000000}"/>
    <cellStyle name="_2009-02-01_Renewal SIS Intel Server HW Basket_HP 20-01-2009 orig_Service Pricing_all_ Intel_2009_11" xfId="95" xr:uid="{00000000-0005-0000-0000-000051000000}"/>
    <cellStyle name="_2009-02-01_Renewal SIS Intel Server HW Basket_HP 20-01-2009 orig_Tabelle1" xfId="96" xr:uid="{00000000-0005-0000-0000-000052000000}"/>
    <cellStyle name="_2009-02-01_Renewal SIS Intel Server HW Basket_HP 20-01-2009 orig_TCO" xfId="97" xr:uid="{00000000-0005-0000-0000-000053000000}"/>
    <cellStyle name="_2009-02-01_Renewal SIS Intel Server HW Basket_HP 20-01-2009 orig_Vergleichliste Jun09mitAug08" xfId="98" xr:uid="{00000000-0005-0000-0000-000054000000}"/>
    <cellStyle name="_2009-02-01_Renewal SIS Intel Server HW Basket_HP 20-01-2009_2010-06-01_Intel Server Basket_HP May 2010 (2)" xfId="99" xr:uid="{00000000-0005-0000-0000-000055000000}"/>
    <cellStyle name="_2009-02-01_Renewal SIS Intel Server HW Basket_HP 20-01-2009_2010-06-01_Intel Server Basket_HP May 2010 (2) 2" xfId="100" xr:uid="{00000000-0005-0000-0000-000056000000}"/>
    <cellStyle name="_2009-02-01_Renewal SIS Intel Server HW Basket_HP 20-01-2009_2010-06-01_Intel Server Basket_HP May 2010 (2)_2010-09-15_Intel Sever Basket_HP V6" xfId="101" xr:uid="{00000000-0005-0000-0000-000057000000}"/>
    <cellStyle name="_2009-02-01_Renewal SIS Intel Server HW Basket_HP 20-01-2009_2010-06-01_Intel Server Basket_HP May 2010 (2)_2010-09-15_Intel Sever Basket_HP V6 2" xfId="102" xr:uid="{00000000-0005-0000-0000-000058000000}"/>
    <cellStyle name="_2009-02-01_Renewal SIS Intel Server HW Basket_HP 20-01-2009_Configurations FSC" xfId="103" xr:uid="{00000000-0005-0000-0000-000059000000}"/>
    <cellStyle name="_2009-02-01_Renewal SIS Intel Server HW Basket_HP 20-01-2009_Configurations FSC 2" xfId="104" xr:uid="{00000000-0005-0000-0000-00005A000000}"/>
    <cellStyle name="_2009-02-01_Renewal SIS Intel Server HW Basket_HP 20-01-2009_Configurations FSC_2010-06-01_Intel Server Basket_HP May 2010 (2)" xfId="105" xr:uid="{00000000-0005-0000-0000-00005B000000}"/>
    <cellStyle name="_2009-02-01_Renewal SIS Intel Server HW Basket_HP 20-01-2009_Configurations FSC_2010-06-01_Intel Server Basket_HP May 2010 (2) 2" xfId="106" xr:uid="{00000000-0005-0000-0000-00005C000000}"/>
    <cellStyle name="_2009-02-01_Renewal SIS Intel Server HW Basket_HP 20-01-2009_Configurations FSC_2010-06-01_Intel Server Basket_HP May 2010 (2)_2010-09-15_Intel Sever Basket_HP V6" xfId="107" xr:uid="{00000000-0005-0000-0000-00005D000000}"/>
    <cellStyle name="_2009-02-01_Renewal SIS Intel Server HW Basket_HP 20-01-2009_Configurations FSC_2010-06-01_Intel Server Basket_HP May 2010 (2)_2010-09-15_Intel Sever Basket_HP V6 2" xfId="108" xr:uid="{00000000-0005-0000-0000-00005E000000}"/>
    <cellStyle name="_2009-02-01_Renewal SIS Intel Server HW Basket_HP 20-01-2009_Configurations FSC_Maintenance" xfId="109" xr:uid="{00000000-0005-0000-0000-00005F000000}"/>
    <cellStyle name="_2009-02-01_Renewal SIS Intel Server HW Basket_HP 20-01-2009_Configurations FSC_Maintenance prices" xfId="110" xr:uid="{00000000-0005-0000-0000-000060000000}"/>
    <cellStyle name="_2009-02-01_Renewal SIS Intel Server HW Basket_HP 20-01-2009_eBidding structure - HW" xfId="111" xr:uid="{00000000-0005-0000-0000-000061000000}"/>
    <cellStyle name="_2009-02-01_Renewal SIS Intel Server HW Basket_HP 20-01-2009_FIT List_Dell" xfId="112" xr:uid="{00000000-0005-0000-0000-000062000000}"/>
    <cellStyle name="_2009-02-01_Renewal SIS Intel Server HW Basket_HP 20-01-2009_FIT List_Dell_1" xfId="113" xr:uid="{00000000-0005-0000-0000-000063000000}"/>
    <cellStyle name="_2009-02-01_Renewal SIS Intel Server HW Basket_HP 20-01-2009_FIT List_FTS" xfId="114" xr:uid="{00000000-0005-0000-0000-000064000000}"/>
    <cellStyle name="_2009-02-01_Renewal SIS Intel Server HW Basket_HP 20-01-2009_FIT List_FTS_1" xfId="115" xr:uid="{00000000-0005-0000-0000-000065000000}"/>
    <cellStyle name="_2009-02-01_Renewal SIS Intel Server HW Basket_HP 20-01-2009_FIT List_HP" xfId="116" xr:uid="{00000000-0005-0000-0000-000066000000}"/>
    <cellStyle name="_2009-02-01_Renewal SIS Intel Server HW Basket_HP 20-01-2009_FIT List_IBM" xfId="117" xr:uid="{00000000-0005-0000-0000-000067000000}"/>
    <cellStyle name="_2009-02-01_Renewal SIS Intel Server HW Basket_HP 20-01-2009_FIT List_IBM HW" xfId="118" xr:uid="{00000000-0005-0000-0000-000068000000}"/>
    <cellStyle name="_2009-02-01_Renewal SIS Intel Server HW Basket_HP 20-01-2009_FTS" xfId="119" xr:uid="{00000000-0005-0000-0000-000069000000}"/>
    <cellStyle name="_2009-02-01_Renewal SIS Intel Server HW Basket_HP 20-01-2009_FTS 2" xfId="120" xr:uid="{00000000-0005-0000-0000-00006A000000}"/>
    <cellStyle name="_2009-02-01_Renewal SIS Intel Server HW Basket_HP 20-01-2009_FTS 2 2" xfId="121" xr:uid="{00000000-0005-0000-0000-00006B000000}"/>
    <cellStyle name="_2009-02-01_Renewal SIS Intel Server HW Basket_HP 20-01-2009_FTS_2010-06-01_Intel Server Basket_HP May 2010 (2)" xfId="122" xr:uid="{00000000-0005-0000-0000-00006C000000}"/>
    <cellStyle name="_2009-02-01_Renewal SIS Intel Server HW Basket_HP 20-01-2009_FTS_2010-06-01_Intel Server Basket_HP May 2010 (2) 2" xfId="123" xr:uid="{00000000-0005-0000-0000-00006D000000}"/>
    <cellStyle name="_2009-02-01_Renewal SIS Intel Server HW Basket_HP 20-01-2009_FTS_2010-06-01_Intel Server Basket_HP May 2010 (2)_2010-09-15_Intel Sever Basket_HP V6" xfId="124" xr:uid="{00000000-0005-0000-0000-00006E000000}"/>
    <cellStyle name="_2009-02-01_Renewal SIS Intel Server HW Basket_HP 20-01-2009_FTS_2010-06-01_Intel Server Basket_HP May 2010 (2)_2010-09-15_Intel Sever Basket_HP V6 2" xfId="125" xr:uid="{00000000-0005-0000-0000-00006F000000}"/>
    <cellStyle name="_2009-02-01_Renewal SIS Intel Server HW Basket_HP 20-01-2009_FTS_Maintenance" xfId="126" xr:uid="{00000000-0005-0000-0000-000070000000}"/>
    <cellStyle name="_2009-02-01_Renewal SIS Intel Server HW Basket_HP 20-01-2009_FTS_Maintenance prices" xfId="127" xr:uid="{00000000-0005-0000-0000-000071000000}"/>
    <cellStyle name="_2009-02-01_Renewal SIS Intel Server HW Basket_HP 20-01-2009_Hardware prices" xfId="128" xr:uid="{00000000-0005-0000-0000-000072000000}"/>
    <cellStyle name="_2009-02-01_Renewal SIS Intel Server HW Basket_HP 20-01-2009_Hardware Startprices " xfId="129" xr:uid="{00000000-0005-0000-0000-000073000000}"/>
    <cellStyle name="_2009-02-01_Renewal SIS Intel Server HW Basket_HP 20-01-2009_Maintenance" xfId="130" xr:uid="{00000000-0005-0000-0000-000074000000}"/>
    <cellStyle name="_2009-02-01_Renewal SIS Intel Server HW Basket_HP 20-01-2009_Maintenance prices" xfId="131" xr:uid="{00000000-0005-0000-0000-000075000000}"/>
    <cellStyle name="_2009-02-01_Renewal SIS Intel Server HW Basket_HP 20-01-2009_Maintenance prices_1" xfId="132" xr:uid="{00000000-0005-0000-0000-000076000000}"/>
    <cellStyle name="_2009-02-01_Renewal SIS Intel Server HW Basket_HP 20-01-2009_Maintenance Startprices" xfId="133" xr:uid="{00000000-0005-0000-0000-000077000000}"/>
    <cellStyle name="_2009-02-01_Renewal SIS Intel Server HW Basket_HP 20-01-2009_Maintenance Startprices_1" xfId="134" xr:uid="{00000000-0005-0000-0000-000078000000}"/>
    <cellStyle name="_2009-02-01_Renewal SIS Intel Server HW Basket_HP 20-01-2009_Maintenance_1" xfId="135" xr:uid="{00000000-0005-0000-0000-000079000000}"/>
    <cellStyle name="_2009-02-01_Renewal SIS Intel Server HW Basket_HP 20-01-2009_Maintenance_Maintenance prices" xfId="136" xr:uid="{00000000-0005-0000-0000-00007A000000}"/>
    <cellStyle name="_2009-02-01_Renewal SIS Intel Server HW Basket_HP 20-01-2009_RfQ_SIS Intel Server HW Basket Dell Aug 2009 (2)" xfId="137" xr:uid="{00000000-0005-0000-0000-00007B000000}"/>
    <cellStyle name="_2009-02-01_Renewal SIS Intel Server HW Basket_HP 20-01-2009_RfQ_SIS Intel Server HW Basket Dell Aug 2009 (2) 2" xfId="138" xr:uid="{00000000-0005-0000-0000-00007C000000}"/>
    <cellStyle name="_2009-02-01_Renewal SIS Intel Server HW Basket_HP 20-01-2009_RfQ_SIS Intel Server HW Basket Dell Aug 2009 (2)_2010-06-01_Intel Server Basket_Dell_21052010" xfId="139" xr:uid="{00000000-0005-0000-0000-00007D000000}"/>
    <cellStyle name="_2009-02-01_Renewal SIS Intel Server HW Basket_HP 20-01-2009_RfQ_SIS Intel Server HW Basket Dell Aug 2009 (2)_2010-06-01_Intel Server Basket_Dell_21052010 2" xfId="140" xr:uid="{00000000-0005-0000-0000-00007E000000}"/>
    <cellStyle name="_2009-02-01_Renewal SIS Intel Server HW Basket_HP 20-01-2009_RfQ_SIS Intel Server HW Basket Dell Aug 2009 (2)_2010-09-15_Intel Sever Basket_HP V6" xfId="141" xr:uid="{00000000-0005-0000-0000-00007F000000}"/>
    <cellStyle name="_2009-02-01_Renewal SIS Intel Server HW Basket_HP 20-01-2009_RfQ_SIS Intel Server HW Basket Dell Aug 2009 (2)_2010-09-15_Intel Sever Basket_HP V6 2" xfId="142" xr:uid="{00000000-0005-0000-0000-000080000000}"/>
    <cellStyle name="_2009-02-01_Renewal SIS Intel Server HW Basket_HP 20-01-2009_RfQ_SIS Intel Server HW Basket Dell Aug 2009 (2)_Intel_Server_Basket" xfId="143" xr:uid="{00000000-0005-0000-0000-000081000000}"/>
    <cellStyle name="_2009-02-01_Renewal SIS Intel Server HW Basket_HP 20-01-2009_RfQ_SIS Intel Server HW Basket Dell Aug 2009 (2)_Intel_Server_Basket 2" xfId="144" xr:uid="{00000000-0005-0000-0000-000082000000}"/>
    <cellStyle name="_2009-02-01_Renewal SIS Intel Server HW Basket_HP 20-01-2009_Service Pricing_all_ Intel_2009_11" xfId="145" xr:uid="{00000000-0005-0000-0000-000083000000}"/>
    <cellStyle name="_2009-02-01_Renewal SIS Intel Server HW Basket_HP 20-01-2009_Tabelle1" xfId="146" xr:uid="{00000000-0005-0000-0000-000084000000}"/>
    <cellStyle name="_2009-02-01_Renewal SIS Intel Server HW Basket_HP 20-01-2009_TCO" xfId="147" xr:uid="{00000000-0005-0000-0000-000085000000}"/>
    <cellStyle name="_2009-02-01_Renewal SIS Intel Server HW Basket_HP 20-01-2009_Vergleichliste Jun09mitAug08" xfId="148" xr:uid="{00000000-0005-0000-0000-000086000000}"/>
    <cellStyle name="_2009-02-02_comparison UNIX" xfId="149" xr:uid="{00000000-0005-0000-0000-000087000000}"/>
    <cellStyle name="_2011-02-02_prp_input" xfId="150" xr:uid="{00000000-0005-0000-0000-000088000000}"/>
    <cellStyle name="_3) SMALL" xfId="151" xr:uid="{00000000-0005-0000-0000-000089000000}"/>
    <cellStyle name="_3) SMALL 2" xfId="152" xr:uid="{00000000-0005-0000-0000-00008A000000}"/>
    <cellStyle name="_3) SMALL_Configurations FSC" xfId="153" xr:uid="{00000000-0005-0000-0000-00008B000000}"/>
    <cellStyle name="_3) SMALL_Configurations FSC 2" xfId="154" xr:uid="{00000000-0005-0000-0000-00008C000000}"/>
    <cellStyle name="_3) SMALL_FTS" xfId="155" xr:uid="{00000000-0005-0000-0000-00008D000000}"/>
    <cellStyle name="_3) SMALL_FTS 2" xfId="156" xr:uid="{00000000-0005-0000-0000-00008E000000}"/>
    <cellStyle name="_FIT List_IBM" xfId="157" xr:uid="{00000000-0005-0000-0000-00008F000000}"/>
    <cellStyle name="_FIT List_IBM HW" xfId="158" xr:uid="{00000000-0005-0000-0000-000090000000}"/>
    <cellStyle name="_Hardware Results " xfId="159" xr:uid="{00000000-0005-0000-0000-000091000000}"/>
    <cellStyle name="_HP 08-05-2009_RfQ_SIS Intel Server HW Basket" xfId="160" xr:uid="{00000000-0005-0000-0000-000092000000}"/>
    <cellStyle name="_HP 08-05-2009_RfQ_SIS Intel Server HW Basket 2" xfId="161" xr:uid="{00000000-0005-0000-0000-000093000000}"/>
    <cellStyle name="_OPF1" xfId="4887" xr:uid="{00000000-0005-0000-0000-000094000000}"/>
    <cellStyle name="_OPF2" xfId="4888" xr:uid="{00000000-0005-0000-0000-000095000000}"/>
    <cellStyle name="_OPF3" xfId="4889" xr:uid="{00000000-0005-0000-0000-000096000000}"/>
    <cellStyle name="_Renewal Intel Managed Server Basket_09.03.2007" xfId="162" xr:uid="{00000000-0005-0000-0000-000097000000}"/>
    <cellStyle name="_Renewal Intel Managed Server Basket_09.03.2007 2" xfId="163" xr:uid="{00000000-0005-0000-0000-000098000000}"/>
    <cellStyle name="_Renewal Intel Managed Server Basket_09.03.2007_Configurations FSC" xfId="164" xr:uid="{00000000-0005-0000-0000-000099000000}"/>
    <cellStyle name="_Renewal Intel Managed Server Basket_09.03.2007_Configurations FSC 2" xfId="165" xr:uid="{00000000-0005-0000-0000-00009A000000}"/>
    <cellStyle name="_Renewal Intel Managed Server Basket_09.03.2007_FTS" xfId="166" xr:uid="{00000000-0005-0000-0000-00009B000000}"/>
    <cellStyle name="_Renewal Intel Managed Server Basket_09.03.2007_FTS 2" xfId="167" xr:uid="{00000000-0005-0000-0000-00009C000000}"/>
    <cellStyle name="_SMALL - without red. ps" xfId="168" xr:uid="{00000000-0005-0000-0000-00009D000000}"/>
    <cellStyle name="_SMALL - without red. ps 2" xfId="169" xr:uid="{00000000-0005-0000-0000-00009E000000}"/>
    <cellStyle name="_SMALL - without red. ps_Configurations FSC" xfId="170" xr:uid="{00000000-0005-0000-0000-00009F000000}"/>
    <cellStyle name="_SMALL - without red. ps_Configurations FSC 2" xfId="171" xr:uid="{00000000-0005-0000-0000-0000A0000000}"/>
    <cellStyle name="_SMALL - without red. ps_FTS" xfId="172" xr:uid="{00000000-0005-0000-0000-0000A1000000}"/>
    <cellStyle name="_SMALL - without red. ps_FTS 2" xfId="173" xr:uid="{00000000-0005-0000-0000-0000A2000000}"/>
    <cellStyle name="_Tabelle1" xfId="174" xr:uid="{00000000-0005-0000-0000-0000A3000000}"/>
    <cellStyle name="_Übersicht" xfId="175" xr:uid="{00000000-0005-0000-0000-0000A4000000}"/>
    <cellStyle name="_Übersicht 2" xfId="176" xr:uid="{00000000-0005-0000-0000-0000A5000000}"/>
    <cellStyle name="_Übersicht Jan 09" xfId="177" xr:uid="{00000000-0005-0000-0000-0000A6000000}"/>
    <cellStyle name="_Übersicht Jan 09 2" xfId="178" xr:uid="{00000000-0005-0000-0000-0000A7000000}"/>
    <cellStyle name="_Übersicht Jan 09_1" xfId="179" xr:uid="{00000000-0005-0000-0000-0000A8000000}"/>
    <cellStyle name="_Übersicht Jan 09_FIT List_FTS" xfId="180" xr:uid="{00000000-0005-0000-0000-0000A9000000}"/>
    <cellStyle name="_Übersicht Jan 09_Hardware prices" xfId="181" xr:uid="{00000000-0005-0000-0000-0000AA000000}"/>
    <cellStyle name="_Übersicht Jan 09_Hardware Startprices " xfId="182" xr:uid="{00000000-0005-0000-0000-0000AB000000}"/>
    <cellStyle name="_Übersicht Jan 09_Maintenance" xfId="183" xr:uid="{00000000-0005-0000-0000-0000AC000000}"/>
    <cellStyle name="_Übersicht Jan 09_Maintenance prices" xfId="184" xr:uid="{00000000-0005-0000-0000-0000AD000000}"/>
    <cellStyle name="_Übersicht Jan 09_Maintenance Startprices" xfId="185" xr:uid="{00000000-0005-0000-0000-0000AE000000}"/>
    <cellStyle name="_Übersicht Jan 09_Service Pricing_all_ Intel_2009_11" xfId="186" xr:uid="{00000000-0005-0000-0000-0000AF000000}"/>
    <cellStyle name="_Übersicht Jan 09_TCO" xfId="187" xr:uid="{00000000-0005-0000-0000-0000B0000000}"/>
    <cellStyle name="_Übersicht_1" xfId="188" xr:uid="{00000000-0005-0000-0000-0000B1000000}"/>
    <cellStyle name="_Übersicht_FIT List_FTS" xfId="189" xr:uid="{00000000-0005-0000-0000-0000B2000000}"/>
    <cellStyle name="_Übersicht_Hardware prices" xfId="190" xr:uid="{00000000-0005-0000-0000-0000B3000000}"/>
    <cellStyle name="_Übersicht_Hardware Startprices " xfId="191" xr:uid="{00000000-0005-0000-0000-0000B4000000}"/>
    <cellStyle name="_Übersicht_Maintenance" xfId="192" xr:uid="{00000000-0005-0000-0000-0000B5000000}"/>
    <cellStyle name="_Übersicht_Maintenance prices" xfId="193" xr:uid="{00000000-0005-0000-0000-0000B6000000}"/>
    <cellStyle name="_Übersicht_Maintenance Startprices" xfId="194" xr:uid="{00000000-0005-0000-0000-0000B7000000}"/>
    <cellStyle name="_Übersicht_Service Pricing_all_ Intel_2009_11" xfId="195" xr:uid="{00000000-0005-0000-0000-0000B8000000}"/>
    <cellStyle name="_Übersicht_TCO" xfId="196" xr:uid="{00000000-0005-0000-0000-0000B9000000}"/>
    <cellStyle name="20% - Akzent1" xfId="197" xr:uid="{00000000-0005-0000-0000-0000BA000000}"/>
    <cellStyle name="20% - Akzent1 2" xfId="198" xr:uid="{00000000-0005-0000-0000-0000BB000000}"/>
    <cellStyle name="20% - Akzent2" xfId="199" xr:uid="{00000000-0005-0000-0000-0000BC000000}"/>
    <cellStyle name="20% - Akzent2 2" xfId="200" xr:uid="{00000000-0005-0000-0000-0000BD000000}"/>
    <cellStyle name="20% - Akzent3" xfId="201" xr:uid="{00000000-0005-0000-0000-0000BE000000}"/>
    <cellStyle name="20% - Akzent3 2" xfId="202" xr:uid="{00000000-0005-0000-0000-0000BF000000}"/>
    <cellStyle name="20% - Akzent4" xfId="203" xr:uid="{00000000-0005-0000-0000-0000C0000000}"/>
    <cellStyle name="20% - Akzent4 2" xfId="204" xr:uid="{00000000-0005-0000-0000-0000C1000000}"/>
    <cellStyle name="20% - Akzent5" xfId="205" xr:uid="{00000000-0005-0000-0000-0000C2000000}"/>
    <cellStyle name="20% - Akzent5 2" xfId="206" xr:uid="{00000000-0005-0000-0000-0000C3000000}"/>
    <cellStyle name="20% - Akzent6" xfId="207" xr:uid="{00000000-0005-0000-0000-0000C4000000}"/>
    <cellStyle name="20% - Akzent6 2" xfId="208" xr:uid="{00000000-0005-0000-0000-0000C5000000}"/>
    <cellStyle name="40% - Akzent1" xfId="209" xr:uid="{00000000-0005-0000-0000-0000C6000000}"/>
    <cellStyle name="40% - Akzent1 2" xfId="210" xr:uid="{00000000-0005-0000-0000-0000C7000000}"/>
    <cellStyle name="40% - Akzent2" xfId="211" xr:uid="{00000000-0005-0000-0000-0000C8000000}"/>
    <cellStyle name="40% - Akzent2 2" xfId="212" xr:uid="{00000000-0005-0000-0000-0000C9000000}"/>
    <cellStyle name="40% - Akzent3" xfId="213" xr:uid="{00000000-0005-0000-0000-0000CA000000}"/>
    <cellStyle name="40% - Akzent3 2" xfId="214" xr:uid="{00000000-0005-0000-0000-0000CB000000}"/>
    <cellStyle name="40% - Akzent4" xfId="215" xr:uid="{00000000-0005-0000-0000-0000CC000000}"/>
    <cellStyle name="40% - Akzent4 2" xfId="216" xr:uid="{00000000-0005-0000-0000-0000CD000000}"/>
    <cellStyle name="40% - Akzent5" xfId="217" xr:uid="{00000000-0005-0000-0000-0000CE000000}"/>
    <cellStyle name="40% - Akzent5 2" xfId="218" xr:uid="{00000000-0005-0000-0000-0000CF000000}"/>
    <cellStyle name="40% - Akzent6" xfId="219" xr:uid="{00000000-0005-0000-0000-0000D0000000}"/>
    <cellStyle name="40% - Akzent6 2" xfId="220" xr:uid="{00000000-0005-0000-0000-0000D1000000}"/>
    <cellStyle name="60% - Akzent1" xfId="221" xr:uid="{00000000-0005-0000-0000-0000D2000000}"/>
    <cellStyle name="60% - Akzent1 2" xfId="222" xr:uid="{00000000-0005-0000-0000-0000D3000000}"/>
    <cellStyle name="60% - Akzent2" xfId="223" xr:uid="{00000000-0005-0000-0000-0000D4000000}"/>
    <cellStyle name="60% - Akzent2 2" xfId="224" xr:uid="{00000000-0005-0000-0000-0000D5000000}"/>
    <cellStyle name="60% - Akzent3" xfId="225" xr:uid="{00000000-0005-0000-0000-0000D6000000}"/>
    <cellStyle name="60% - Akzent3 2" xfId="226" xr:uid="{00000000-0005-0000-0000-0000D7000000}"/>
    <cellStyle name="60% - Akzent4" xfId="227" xr:uid="{00000000-0005-0000-0000-0000D8000000}"/>
    <cellStyle name="60% - Akzent4 2" xfId="228" xr:uid="{00000000-0005-0000-0000-0000D9000000}"/>
    <cellStyle name="60% - Akzent5" xfId="229" xr:uid="{00000000-0005-0000-0000-0000DA000000}"/>
    <cellStyle name="60% - Akzent5 2" xfId="230" xr:uid="{00000000-0005-0000-0000-0000DB000000}"/>
    <cellStyle name="60% - Akzent6" xfId="231" xr:uid="{00000000-0005-0000-0000-0000DC000000}"/>
    <cellStyle name="60% - Akzent6 2" xfId="232" xr:uid="{00000000-0005-0000-0000-0000DD000000}"/>
    <cellStyle name="Accent1 2" xfId="233" xr:uid="{00000000-0005-0000-0000-0000DE000000}"/>
    <cellStyle name="Accent2 2" xfId="234" xr:uid="{00000000-0005-0000-0000-0000DF000000}"/>
    <cellStyle name="Accent3 2" xfId="235" xr:uid="{00000000-0005-0000-0000-0000E0000000}"/>
    <cellStyle name="Accent4 2" xfId="236" xr:uid="{00000000-0005-0000-0000-0000E1000000}"/>
    <cellStyle name="Accent5 2" xfId="237" xr:uid="{00000000-0005-0000-0000-0000E2000000}"/>
    <cellStyle name="Accent6 2" xfId="238" xr:uid="{00000000-0005-0000-0000-0000E3000000}"/>
    <cellStyle name="AFE" xfId="4890" xr:uid="{00000000-0005-0000-0000-0000E4000000}"/>
    <cellStyle name="Akzent1" xfId="239" xr:uid="{00000000-0005-0000-0000-0000E5000000}"/>
    <cellStyle name="Akzent1 2" xfId="240" xr:uid="{00000000-0005-0000-0000-0000E6000000}"/>
    <cellStyle name="Akzent2" xfId="241" xr:uid="{00000000-0005-0000-0000-0000E7000000}"/>
    <cellStyle name="Akzent2 2" xfId="242" xr:uid="{00000000-0005-0000-0000-0000E8000000}"/>
    <cellStyle name="Akzent3" xfId="243" xr:uid="{00000000-0005-0000-0000-0000E9000000}"/>
    <cellStyle name="Akzent3 2" xfId="244" xr:uid="{00000000-0005-0000-0000-0000EA000000}"/>
    <cellStyle name="Akzent4" xfId="245" xr:uid="{00000000-0005-0000-0000-0000EB000000}"/>
    <cellStyle name="Akzent4 2" xfId="246" xr:uid="{00000000-0005-0000-0000-0000EC000000}"/>
    <cellStyle name="Akzent5" xfId="247" xr:uid="{00000000-0005-0000-0000-0000ED000000}"/>
    <cellStyle name="Akzent5 2" xfId="248" xr:uid="{00000000-0005-0000-0000-0000EE000000}"/>
    <cellStyle name="Akzent6" xfId="249" xr:uid="{00000000-0005-0000-0000-0000EF000000}"/>
    <cellStyle name="Akzent6 2" xfId="250" xr:uid="{00000000-0005-0000-0000-0000F0000000}"/>
    <cellStyle name="Ausgabe" xfId="251" xr:uid="{00000000-0005-0000-0000-0000F1000000}"/>
    <cellStyle name="Ausgabe 2" xfId="252" xr:uid="{00000000-0005-0000-0000-0000F2000000}"/>
    <cellStyle name="Ausgabe 2 2" xfId="4962" xr:uid="{00000000-0005-0000-0000-0000F2000000}"/>
    <cellStyle name="Ausgabe 2 3" xfId="5013" xr:uid="{00000000-0005-0000-0000-0000F2000000}"/>
    <cellStyle name="Ausgabe 3" xfId="253" xr:uid="{00000000-0005-0000-0000-0000F3000000}"/>
    <cellStyle name="Ausgabe 3 2" xfId="4963" xr:uid="{00000000-0005-0000-0000-0000F3000000}"/>
    <cellStyle name="Ausgabe 3 3" xfId="5012" xr:uid="{00000000-0005-0000-0000-0000F3000000}"/>
    <cellStyle name="Ausgabe 4" xfId="4961" xr:uid="{00000000-0005-0000-0000-0000F1000000}"/>
    <cellStyle name="Ausgabe 5" xfId="5014" xr:uid="{00000000-0005-0000-0000-0000F1000000}"/>
    <cellStyle name="Bad 2" xfId="4891" xr:uid="{00000000-0005-0000-0000-0000F4000000}"/>
    <cellStyle name="Berechnung" xfId="254" xr:uid="{00000000-0005-0000-0000-0000F5000000}"/>
    <cellStyle name="Berechnung 2" xfId="255" xr:uid="{00000000-0005-0000-0000-0000F6000000}"/>
    <cellStyle name="Berechnung 2 2" xfId="4965" xr:uid="{00000000-0005-0000-0000-0000F6000000}"/>
    <cellStyle name="Berechnung 2 3" xfId="5010" xr:uid="{00000000-0005-0000-0000-0000F6000000}"/>
    <cellStyle name="Berechnung 3" xfId="256" xr:uid="{00000000-0005-0000-0000-0000F7000000}"/>
    <cellStyle name="Berechnung 3 2" xfId="4966" xr:uid="{00000000-0005-0000-0000-0000F7000000}"/>
    <cellStyle name="Berechnung 3 3" xfId="5009" xr:uid="{00000000-0005-0000-0000-0000F7000000}"/>
    <cellStyle name="Berechnung 4" xfId="4964" xr:uid="{00000000-0005-0000-0000-0000F5000000}"/>
    <cellStyle name="Berechnung 5" xfId="5011" xr:uid="{00000000-0005-0000-0000-0000F5000000}"/>
    <cellStyle name="C:\Data\MS\Excel" xfId="257" xr:uid="{00000000-0005-0000-0000-0000F8000000}"/>
    <cellStyle name="C:\Data\MS\Excel 2" xfId="258" xr:uid="{00000000-0005-0000-0000-0000F9000000}"/>
    <cellStyle name="C:\Data\MS\Excel 3" xfId="259" xr:uid="{00000000-0005-0000-0000-0000FA000000}"/>
    <cellStyle name="C:\Data\MS\Excel?ARBORPATH=C:\DATA\ARBOR30?COMPUTERNAME=WLHPA" xfId="260" xr:uid="{00000000-0005-0000-0000-0000FB000000}"/>
    <cellStyle name="C:\Data\MS\Excel_2009-02-02_comparison UNIX" xfId="261" xr:uid="{00000000-0005-0000-0000-0000FC000000}"/>
    <cellStyle name="ColumnHeader" xfId="7" xr:uid="{00000000-0005-0000-0000-0000FD000000}"/>
    <cellStyle name="ColumnHeader 2" xfId="262" xr:uid="{00000000-0005-0000-0000-0000FE000000}"/>
    <cellStyle name="ColumnHeader 2 2" xfId="263" xr:uid="{00000000-0005-0000-0000-0000FF000000}"/>
    <cellStyle name="ColumnHeader 3" xfId="264" xr:uid="{00000000-0005-0000-0000-000000010000}"/>
    <cellStyle name="ColumnHeader 4" xfId="265" xr:uid="{00000000-0005-0000-0000-000001010000}"/>
    <cellStyle name="ColumnHeader 4 2" xfId="4967" xr:uid="{00000000-0005-0000-0000-000001010000}"/>
    <cellStyle name="ColumnHeader 4 3" xfId="5008" xr:uid="{00000000-0005-0000-0000-000001010000}"/>
    <cellStyle name="Comma 2" xfId="8" xr:uid="{00000000-0005-0000-0000-000002010000}"/>
    <cellStyle name="Comma 2 2" xfId="266" xr:uid="{00000000-0005-0000-0000-000003010000}"/>
    <cellStyle name="Comma 2 2 2" xfId="4892" xr:uid="{00000000-0005-0000-0000-000004010000}"/>
    <cellStyle name="Comma 2 2 3" xfId="4893" xr:uid="{00000000-0005-0000-0000-000005010000}"/>
    <cellStyle name="Comma 2 2 4" xfId="4918" xr:uid="{00000000-0005-0000-0000-000006010000}"/>
    <cellStyle name="Comma 2 2 4 2" xfId="5064" xr:uid="{00000000-0005-0000-0000-000006010000}"/>
    <cellStyle name="Comma 2 2 5" xfId="4968" xr:uid="{00000000-0005-0000-0000-000003010000}"/>
    <cellStyle name="Comma 2 3" xfId="267" xr:uid="{00000000-0005-0000-0000-000007010000}"/>
    <cellStyle name="Comma 2 3 2" xfId="4894" xr:uid="{00000000-0005-0000-0000-000008010000}"/>
    <cellStyle name="Comma 2 3 3" xfId="4969" xr:uid="{00000000-0005-0000-0000-000007010000}"/>
    <cellStyle name="Comma 2 4" xfId="268" xr:uid="{00000000-0005-0000-0000-000009010000}"/>
    <cellStyle name="Comma 2 4 2" xfId="4970" xr:uid="{00000000-0005-0000-0000-000009010000}"/>
    <cellStyle name="Comma 2 5" xfId="269" xr:uid="{00000000-0005-0000-0000-00000A010000}"/>
    <cellStyle name="Comma 2 5 2" xfId="4971" xr:uid="{00000000-0005-0000-0000-00000A010000}"/>
    <cellStyle name="Comma 2 6" xfId="4895" xr:uid="{00000000-0005-0000-0000-00000B010000}"/>
    <cellStyle name="Comma 2 7" xfId="4927" xr:uid="{00000000-0005-0000-0000-000002010000}"/>
    <cellStyle name="Comma 3" xfId="270" xr:uid="{00000000-0005-0000-0000-00000C010000}"/>
    <cellStyle name="Comma 3 2" xfId="4972" xr:uid="{00000000-0005-0000-0000-00000C010000}"/>
    <cellStyle name="Comma 4" xfId="271" xr:uid="{00000000-0005-0000-0000-00000D010000}"/>
    <cellStyle name="Comma 4 2" xfId="4973" xr:uid="{00000000-0005-0000-0000-00000D010000}"/>
    <cellStyle name="Currency 2" xfId="272" xr:uid="{00000000-0005-0000-0000-00000F010000}"/>
    <cellStyle name="Currency 3" xfId="4896" xr:uid="{00000000-0005-0000-0000-000010010000}"/>
    <cellStyle name="Currency 4" xfId="5053" xr:uid="{00000000-0005-0000-0000-00007B130000}"/>
    <cellStyle name="DealBlock" xfId="9" xr:uid="{00000000-0005-0000-0000-000011010000}"/>
    <cellStyle name="DealBlock 2" xfId="273" xr:uid="{00000000-0005-0000-0000-000012010000}"/>
    <cellStyle name="DealBlock 2 2" xfId="274" xr:uid="{00000000-0005-0000-0000-000013010000}"/>
    <cellStyle name="DealBlock 3" xfId="275" xr:uid="{00000000-0005-0000-0000-000014010000}"/>
    <cellStyle name="DealBlock 4" xfId="276" xr:uid="{00000000-0005-0000-0000-000015010000}"/>
    <cellStyle name="DealHeader" xfId="10" xr:uid="{00000000-0005-0000-0000-000016010000}"/>
    <cellStyle name="DealHeader 2" xfId="277" xr:uid="{00000000-0005-0000-0000-000017010000}"/>
    <cellStyle name="DealHeader 2 2" xfId="278" xr:uid="{00000000-0005-0000-0000-000018010000}"/>
    <cellStyle name="DealHeader 3" xfId="279" xr:uid="{00000000-0005-0000-0000-000019010000}"/>
    <cellStyle name="DealHeader 4" xfId="280" xr:uid="{00000000-0005-0000-0000-00001A010000}"/>
    <cellStyle name="DealHeader 4 2" xfId="4974" xr:uid="{00000000-0005-0000-0000-00001A010000}"/>
    <cellStyle name="DealHeader 4 3" xfId="5007" xr:uid="{00000000-0005-0000-0000-00001A010000}"/>
    <cellStyle name="Dezimal 2" xfId="281" xr:uid="{00000000-0005-0000-0000-00001B010000}"/>
    <cellStyle name="Dezimal 2 2" xfId="282" xr:uid="{00000000-0005-0000-0000-00001C010000}"/>
    <cellStyle name="Dezimal 2 3" xfId="4897" xr:uid="{00000000-0005-0000-0000-00001D010000}"/>
    <cellStyle name="Dezimal 2 3 2" xfId="5059" xr:uid="{00000000-0005-0000-0000-00001D010000}"/>
    <cellStyle name="Dezimal 3" xfId="283" xr:uid="{00000000-0005-0000-0000-00001E010000}"/>
    <cellStyle name="Dezimal 3 2" xfId="284" xr:uid="{00000000-0005-0000-0000-00001F010000}"/>
    <cellStyle name="Dezimal 3 2 2" xfId="4976" xr:uid="{00000000-0005-0000-0000-00001F010000}"/>
    <cellStyle name="Dezimal 3 3" xfId="285" xr:uid="{00000000-0005-0000-0000-000020010000}"/>
    <cellStyle name="Dezimal 3 3 2" xfId="4977" xr:uid="{00000000-0005-0000-0000-000020010000}"/>
    <cellStyle name="Dezimal 3 4" xfId="4975" xr:uid="{00000000-0005-0000-0000-00001E010000}"/>
    <cellStyle name="Dezimal 4" xfId="286" xr:uid="{00000000-0005-0000-0000-000021010000}"/>
    <cellStyle name="Dezimal 4 2" xfId="4978" xr:uid="{00000000-0005-0000-0000-000021010000}"/>
    <cellStyle name="Dezimal 5" xfId="287" xr:uid="{00000000-0005-0000-0000-000022010000}"/>
    <cellStyle name="Dezimal 5 2" xfId="4979" xr:uid="{00000000-0005-0000-0000-000022010000}"/>
    <cellStyle name="Dezimal 6" xfId="288" xr:uid="{00000000-0005-0000-0000-000023010000}"/>
    <cellStyle name="Eingabe" xfId="289" xr:uid="{00000000-0005-0000-0000-000024010000}"/>
    <cellStyle name="Eingabe 2" xfId="290" xr:uid="{00000000-0005-0000-0000-000025010000}"/>
    <cellStyle name="Eingabe 2 2" xfId="4981" xr:uid="{00000000-0005-0000-0000-000025010000}"/>
    <cellStyle name="Eingabe 2 3" xfId="5005" xr:uid="{00000000-0005-0000-0000-000025010000}"/>
    <cellStyle name="Eingabe 3" xfId="291" xr:uid="{00000000-0005-0000-0000-000026010000}"/>
    <cellStyle name="Eingabe 3 2" xfId="4982" xr:uid="{00000000-0005-0000-0000-000026010000}"/>
    <cellStyle name="Eingabe 3 3" xfId="5004" xr:uid="{00000000-0005-0000-0000-000026010000}"/>
    <cellStyle name="Eingabe 4" xfId="4980" xr:uid="{00000000-0005-0000-0000-000024010000}"/>
    <cellStyle name="Eingabe 5" xfId="5006" xr:uid="{00000000-0005-0000-0000-000024010000}"/>
    <cellStyle name="Ergebnis" xfId="292" xr:uid="{00000000-0005-0000-0000-000027010000}"/>
    <cellStyle name="Ergebnis 2" xfId="293" xr:uid="{00000000-0005-0000-0000-000028010000}"/>
    <cellStyle name="Ergebnis 2 2" xfId="4984" xr:uid="{00000000-0005-0000-0000-000028010000}"/>
    <cellStyle name="Ergebnis 2 3" xfId="5002" xr:uid="{00000000-0005-0000-0000-000028010000}"/>
    <cellStyle name="Ergebnis 3" xfId="294" xr:uid="{00000000-0005-0000-0000-000029010000}"/>
    <cellStyle name="Ergebnis 3 2" xfId="4985" xr:uid="{00000000-0005-0000-0000-000029010000}"/>
    <cellStyle name="Ergebnis 3 3" xfId="5001" xr:uid="{00000000-0005-0000-0000-000029010000}"/>
    <cellStyle name="Ergebnis 4" xfId="4983" xr:uid="{00000000-0005-0000-0000-000027010000}"/>
    <cellStyle name="Ergebnis 5" xfId="5003" xr:uid="{00000000-0005-0000-0000-000027010000}"/>
    <cellStyle name="Erklärender Text" xfId="295" xr:uid="{00000000-0005-0000-0000-00002A010000}"/>
    <cellStyle name="Erklärender Text 2" xfId="296" xr:uid="{00000000-0005-0000-0000-00002B010000}"/>
    <cellStyle name="Erklärender Text 3" xfId="297" xr:uid="{00000000-0005-0000-0000-00002C010000}"/>
    <cellStyle name="Euro" xfId="298" xr:uid="{00000000-0005-0000-0000-00002D010000}"/>
    <cellStyle name="Euro 2" xfId="4898" xr:uid="{00000000-0005-0000-0000-00002E010000}"/>
    <cellStyle name="euro_style5" xfId="4882" xr:uid="{00000000-0005-0000-0000-00002F010000}"/>
    <cellStyle name="FontRed" xfId="4880" xr:uid="{00000000-0005-0000-0000-000030010000}"/>
    <cellStyle name="Good 2" xfId="4899" xr:uid="{00000000-0005-0000-0000-000031010000}"/>
    <cellStyle name="Gut" xfId="299" xr:uid="{00000000-0005-0000-0000-000032010000}"/>
    <cellStyle name="Gut 2" xfId="300" xr:uid="{00000000-0005-0000-0000-000033010000}"/>
    <cellStyle name="HPConfidential" xfId="11" xr:uid="{00000000-0005-0000-0000-000034010000}"/>
    <cellStyle name="HPConfidential 2" xfId="301" xr:uid="{00000000-0005-0000-0000-000035010000}"/>
    <cellStyle name="HPConfidential 2 2" xfId="302" xr:uid="{00000000-0005-0000-0000-000036010000}"/>
    <cellStyle name="HPConfidential 3" xfId="303" xr:uid="{00000000-0005-0000-0000-000037010000}"/>
    <cellStyle name="HPConfidential 4" xfId="304" xr:uid="{00000000-0005-0000-0000-000038010000}"/>
    <cellStyle name="Hyperlink" xfId="1" builtinId="8"/>
    <cellStyle name="Hyperlink 10" xfId="305" xr:uid="{00000000-0005-0000-0000-00003A010000}"/>
    <cellStyle name="Hyperlink 11" xfId="306" xr:uid="{00000000-0005-0000-0000-00003B010000}"/>
    <cellStyle name="Hyperlink 12" xfId="307" xr:uid="{00000000-0005-0000-0000-00003C010000}"/>
    <cellStyle name="Hyperlink 13" xfId="308" xr:uid="{00000000-0005-0000-0000-00003D010000}"/>
    <cellStyle name="Hyperlink 14" xfId="309" xr:uid="{00000000-0005-0000-0000-00003E010000}"/>
    <cellStyle name="Hyperlink 2" xfId="16" xr:uid="{00000000-0005-0000-0000-00003F010000}"/>
    <cellStyle name="Hyperlink 2 2" xfId="310" xr:uid="{00000000-0005-0000-0000-000040010000}"/>
    <cellStyle name="Hyperlink 2 3" xfId="4879" xr:uid="{00000000-0005-0000-0000-000041010000}"/>
    <cellStyle name="Hyperlink 3" xfId="311" xr:uid="{00000000-0005-0000-0000-000042010000}"/>
    <cellStyle name="Hyperlink 4" xfId="312" xr:uid="{00000000-0005-0000-0000-000043010000}"/>
    <cellStyle name="Hyperlink 5" xfId="313" xr:uid="{00000000-0005-0000-0000-000044010000}"/>
    <cellStyle name="Hyperlink 6" xfId="314" xr:uid="{00000000-0005-0000-0000-000045010000}"/>
    <cellStyle name="Hyperlink 7" xfId="315" xr:uid="{00000000-0005-0000-0000-000046010000}"/>
    <cellStyle name="Hyperlink 8" xfId="316" xr:uid="{00000000-0005-0000-0000-000047010000}"/>
    <cellStyle name="Hyperlink 9" xfId="317" xr:uid="{00000000-0005-0000-0000-000048010000}"/>
    <cellStyle name="Include 1" xfId="318" xr:uid="{00000000-0005-0000-0000-000049010000}"/>
    <cellStyle name="Include 1 2" xfId="319" xr:uid="{00000000-0005-0000-0000-00004A010000}"/>
    <cellStyle name="Lien hypertexte 2" xfId="320" xr:uid="{00000000-0005-0000-0000-00004B010000}"/>
    <cellStyle name="Lien hypertexte 3" xfId="321" xr:uid="{00000000-0005-0000-0000-00004C010000}"/>
    <cellStyle name="Milliers 2" xfId="322" xr:uid="{00000000-0005-0000-0000-00004D010000}"/>
    <cellStyle name="Milliers 2 2" xfId="4986" xr:uid="{00000000-0005-0000-0000-00004D010000}"/>
    <cellStyle name="Monétaire 2" xfId="4900" xr:uid="{00000000-0005-0000-0000-00004E010000}"/>
    <cellStyle name="Monétaire 2 2" xfId="4901" xr:uid="{00000000-0005-0000-0000-00004F010000}"/>
    <cellStyle name="N0" xfId="4881" xr:uid="{00000000-0005-0000-0000-000050010000}"/>
    <cellStyle name="N0 2" xfId="5054" xr:uid="{00000000-0005-0000-0000-000050010000}"/>
    <cellStyle name="N0 3" xfId="5074" xr:uid="{00000000-0005-0000-0000-000050010000}"/>
    <cellStyle name="Norm੎੎" xfId="323" xr:uid="{00000000-0005-0000-0000-000051010000}"/>
    <cellStyle name="Norm੎੎ 2" xfId="324" xr:uid="{00000000-0005-0000-0000-000052010000}"/>
    <cellStyle name="Normal" xfId="0" builtinId="0"/>
    <cellStyle name="Normal 10" xfId="325" xr:uid="{00000000-0005-0000-0000-000054010000}"/>
    <cellStyle name="Normal 10 10" xfId="2" xr:uid="{00000000-0005-0000-0000-000055010000}"/>
    <cellStyle name="Normal 10 10 2" xfId="326" xr:uid="{00000000-0005-0000-0000-000056010000}"/>
    <cellStyle name="Normal 10 10 2 2" xfId="327" xr:uid="{00000000-0005-0000-0000-000057010000}"/>
    <cellStyle name="Normal 10 10 3" xfId="3" xr:uid="{00000000-0005-0000-0000-000058010000}"/>
    <cellStyle name="Normal 10 10 3 2" xfId="6" xr:uid="{00000000-0005-0000-0000-000059010000}"/>
    <cellStyle name="Normal 10 11" xfId="328" xr:uid="{00000000-0005-0000-0000-00005A010000}"/>
    <cellStyle name="Normal 10 11 2" xfId="329" xr:uid="{00000000-0005-0000-0000-00005B010000}"/>
    <cellStyle name="Normal 10 11 2 2" xfId="330" xr:uid="{00000000-0005-0000-0000-00005C010000}"/>
    <cellStyle name="Normal 10 12" xfId="331" xr:uid="{00000000-0005-0000-0000-00005D010000}"/>
    <cellStyle name="Normal 10 12 2" xfId="332" xr:uid="{00000000-0005-0000-0000-00005E010000}"/>
    <cellStyle name="Normal 10 12 2 2" xfId="333" xr:uid="{00000000-0005-0000-0000-00005F010000}"/>
    <cellStyle name="Normal 10 13" xfId="334" xr:uid="{00000000-0005-0000-0000-000060010000}"/>
    <cellStyle name="Normal 10 13 2" xfId="335" xr:uid="{00000000-0005-0000-0000-000061010000}"/>
    <cellStyle name="Normal 10 13 2 2" xfId="336" xr:uid="{00000000-0005-0000-0000-000062010000}"/>
    <cellStyle name="Normal 10 14" xfId="337" xr:uid="{00000000-0005-0000-0000-000063010000}"/>
    <cellStyle name="Normal 10 14 2" xfId="338" xr:uid="{00000000-0005-0000-0000-000064010000}"/>
    <cellStyle name="Normal 10 14 2 2" xfId="339" xr:uid="{00000000-0005-0000-0000-000065010000}"/>
    <cellStyle name="Normal 10 15" xfId="340" xr:uid="{00000000-0005-0000-0000-000066010000}"/>
    <cellStyle name="Normal 10 15 2" xfId="341" xr:uid="{00000000-0005-0000-0000-000067010000}"/>
    <cellStyle name="Normal 10 15 2 2" xfId="342" xr:uid="{00000000-0005-0000-0000-000068010000}"/>
    <cellStyle name="Normal 10 16" xfId="343" xr:uid="{00000000-0005-0000-0000-000069010000}"/>
    <cellStyle name="Normal 10 16 2" xfId="344" xr:uid="{00000000-0005-0000-0000-00006A010000}"/>
    <cellStyle name="Normal 10 16 2 2" xfId="345" xr:uid="{00000000-0005-0000-0000-00006B010000}"/>
    <cellStyle name="Normal 10 17" xfId="346" xr:uid="{00000000-0005-0000-0000-00006C010000}"/>
    <cellStyle name="Normal 10 17 2" xfId="347" xr:uid="{00000000-0005-0000-0000-00006D010000}"/>
    <cellStyle name="Normal 10 17 2 2" xfId="348" xr:uid="{00000000-0005-0000-0000-00006E010000}"/>
    <cellStyle name="Normal 10 18" xfId="349" xr:uid="{00000000-0005-0000-0000-00006F010000}"/>
    <cellStyle name="Normal 10 18 2" xfId="350" xr:uid="{00000000-0005-0000-0000-000070010000}"/>
    <cellStyle name="Normal 10 18 2 2" xfId="351" xr:uid="{00000000-0005-0000-0000-000071010000}"/>
    <cellStyle name="Normal 10 19" xfId="352" xr:uid="{00000000-0005-0000-0000-000072010000}"/>
    <cellStyle name="Normal 10 19 2" xfId="353" xr:uid="{00000000-0005-0000-0000-000073010000}"/>
    <cellStyle name="Normal 10 19 2 2" xfId="354" xr:uid="{00000000-0005-0000-0000-000074010000}"/>
    <cellStyle name="Normal 10 2" xfId="355" xr:uid="{00000000-0005-0000-0000-000075010000}"/>
    <cellStyle name="Normal 10 2 10" xfId="356" xr:uid="{00000000-0005-0000-0000-000076010000}"/>
    <cellStyle name="Normal 10 2 10 2" xfId="357" xr:uid="{00000000-0005-0000-0000-000077010000}"/>
    <cellStyle name="Normal 10 2 11" xfId="358" xr:uid="{00000000-0005-0000-0000-000078010000}"/>
    <cellStyle name="Normal 10 2 11 2" xfId="359" xr:uid="{00000000-0005-0000-0000-000079010000}"/>
    <cellStyle name="Normal 10 2 12" xfId="360" xr:uid="{00000000-0005-0000-0000-00007A010000}"/>
    <cellStyle name="Normal 10 2 12 2" xfId="361" xr:uid="{00000000-0005-0000-0000-00007B010000}"/>
    <cellStyle name="Normal 10 2 13" xfId="362" xr:uid="{00000000-0005-0000-0000-00007C010000}"/>
    <cellStyle name="Normal 10 2 13 2" xfId="363" xr:uid="{00000000-0005-0000-0000-00007D010000}"/>
    <cellStyle name="Normal 10 2 14" xfId="364" xr:uid="{00000000-0005-0000-0000-00007E010000}"/>
    <cellStyle name="Normal 10 2 14 2" xfId="365" xr:uid="{00000000-0005-0000-0000-00007F010000}"/>
    <cellStyle name="Normal 10 2 15" xfId="366" xr:uid="{00000000-0005-0000-0000-000080010000}"/>
    <cellStyle name="Normal 10 2 15 2" xfId="367" xr:uid="{00000000-0005-0000-0000-000081010000}"/>
    <cellStyle name="Normal 10 2 16" xfId="368" xr:uid="{00000000-0005-0000-0000-000082010000}"/>
    <cellStyle name="Normal 10 2 16 2" xfId="369" xr:uid="{00000000-0005-0000-0000-000083010000}"/>
    <cellStyle name="Normal 10 2 17" xfId="370" xr:uid="{00000000-0005-0000-0000-000084010000}"/>
    <cellStyle name="Normal 10 2 17 2" xfId="371" xr:uid="{00000000-0005-0000-0000-000085010000}"/>
    <cellStyle name="Normal 10 2 18" xfId="372" xr:uid="{00000000-0005-0000-0000-000086010000}"/>
    <cellStyle name="Normal 10 2 18 2" xfId="373" xr:uid="{00000000-0005-0000-0000-000087010000}"/>
    <cellStyle name="Normal 10 2 19" xfId="374" xr:uid="{00000000-0005-0000-0000-000088010000}"/>
    <cellStyle name="Normal 10 2 19 2" xfId="375" xr:uid="{00000000-0005-0000-0000-000089010000}"/>
    <cellStyle name="Normal 10 2 2" xfId="376" xr:uid="{00000000-0005-0000-0000-00008A010000}"/>
    <cellStyle name="Normal 10 2 2 2" xfId="377" xr:uid="{00000000-0005-0000-0000-00008B010000}"/>
    <cellStyle name="Normal 10 2 20" xfId="378" xr:uid="{00000000-0005-0000-0000-00008C010000}"/>
    <cellStyle name="Normal 10 2 20 2" xfId="379" xr:uid="{00000000-0005-0000-0000-00008D010000}"/>
    <cellStyle name="Normal 10 2 21" xfId="380" xr:uid="{00000000-0005-0000-0000-00008E010000}"/>
    <cellStyle name="Normal 10 2 21 2" xfId="381" xr:uid="{00000000-0005-0000-0000-00008F010000}"/>
    <cellStyle name="Normal 10 2 22" xfId="382" xr:uid="{00000000-0005-0000-0000-000090010000}"/>
    <cellStyle name="Normal 10 2 22 2" xfId="383" xr:uid="{00000000-0005-0000-0000-000091010000}"/>
    <cellStyle name="Normal 10 2 23" xfId="384" xr:uid="{00000000-0005-0000-0000-000092010000}"/>
    <cellStyle name="Normal 10 2 23 2" xfId="385" xr:uid="{00000000-0005-0000-0000-000093010000}"/>
    <cellStyle name="Normal 10 2 24" xfId="386" xr:uid="{00000000-0005-0000-0000-000094010000}"/>
    <cellStyle name="Normal 10 2 24 2" xfId="387" xr:uid="{00000000-0005-0000-0000-000095010000}"/>
    <cellStyle name="Normal 10 2 25" xfId="388" xr:uid="{00000000-0005-0000-0000-000096010000}"/>
    <cellStyle name="Normal 10 2 25 2" xfId="389" xr:uid="{00000000-0005-0000-0000-000097010000}"/>
    <cellStyle name="Normal 10 2 26" xfId="390" xr:uid="{00000000-0005-0000-0000-000098010000}"/>
    <cellStyle name="Normal 10 2 26 2" xfId="391" xr:uid="{00000000-0005-0000-0000-000099010000}"/>
    <cellStyle name="Normal 10 2 27" xfId="392" xr:uid="{00000000-0005-0000-0000-00009A010000}"/>
    <cellStyle name="Normal 10 2 27 2" xfId="393" xr:uid="{00000000-0005-0000-0000-00009B010000}"/>
    <cellStyle name="Normal 10 2 28" xfId="394" xr:uid="{00000000-0005-0000-0000-00009C010000}"/>
    <cellStyle name="Normal 10 2 28 2" xfId="395" xr:uid="{00000000-0005-0000-0000-00009D010000}"/>
    <cellStyle name="Normal 10 2 29" xfId="396" xr:uid="{00000000-0005-0000-0000-00009E010000}"/>
    <cellStyle name="Normal 10 2 29 2" xfId="397" xr:uid="{00000000-0005-0000-0000-00009F010000}"/>
    <cellStyle name="Normal 10 2 3" xfId="398" xr:uid="{00000000-0005-0000-0000-0000A0010000}"/>
    <cellStyle name="Normal 10 2 3 2" xfId="399" xr:uid="{00000000-0005-0000-0000-0000A1010000}"/>
    <cellStyle name="Normal 10 2 30" xfId="400" xr:uid="{00000000-0005-0000-0000-0000A2010000}"/>
    <cellStyle name="Normal 10 2 30 2" xfId="401" xr:uid="{00000000-0005-0000-0000-0000A3010000}"/>
    <cellStyle name="Normal 10 2 31" xfId="402" xr:uid="{00000000-0005-0000-0000-0000A4010000}"/>
    <cellStyle name="Normal 10 2 31 2" xfId="403" xr:uid="{00000000-0005-0000-0000-0000A5010000}"/>
    <cellStyle name="Normal 10 2 32" xfId="404" xr:uid="{00000000-0005-0000-0000-0000A6010000}"/>
    <cellStyle name="Normal 10 2 32 2" xfId="405" xr:uid="{00000000-0005-0000-0000-0000A7010000}"/>
    <cellStyle name="Normal 10 2 33" xfId="406" xr:uid="{00000000-0005-0000-0000-0000A8010000}"/>
    <cellStyle name="Normal 10 2 33 2" xfId="407" xr:uid="{00000000-0005-0000-0000-0000A9010000}"/>
    <cellStyle name="Normal 10 2 34" xfId="408" xr:uid="{00000000-0005-0000-0000-0000AA010000}"/>
    <cellStyle name="Normal 10 2 34 2" xfId="409" xr:uid="{00000000-0005-0000-0000-0000AB010000}"/>
    <cellStyle name="Normal 10 2 35" xfId="410" xr:uid="{00000000-0005-0000-0000-0000AC010000}"/>
    <cellStyle name="Normal 10 2 35 2" xfId="411" xr:uid="{00000000-0005-0000-0000-0000AD010000}"/>
    <cellStyle name="Normal 10 2 36" xfId="412" xr:uid="{00000000-0005-0000-0000-0000AE010000}"/>
    <cellStyle name="Normal 10 2 36 2" xfId="413" xr:uid="{00000000-0005-0000-0000-0000AF010000}"/>
    <cellStyle name="Normal 10 2 37" xfId="414" xr:uid="{00000000-0005-0000-0000-0000B0010000}"/>
    <cellStyle name="Normal 10 2 37 2" xfId="415" xr:uid="{00000000-0005-0000-0000-0000B1010000}"/>
    <cellStyle name="Normal 10 2 38" xfId="416" xr:uid="{00000000-0005-0000-0000-0000B2010000}"/>
    <cellStyle name="Normal 10 2 38 2" xfId="417" xr:uid="{00000000-0005-0000-0000-0000B3010000}"/>
    <cellStyle name="Normal 10 2 39" xfId="418" xr:uid="{00000000-0005-0000-0000-0000B4010000}"/>
    <cellStyle name="Normal 10 2 39 2" xfId="419" xr:uid="{00000000-0005-0000-0000-0000B5010000}"/>
    <cellStyle name="Normal 10 2 4" xfId="420" xr:uid="{00000000-0005-0000-0000-0000B6010000}"/>
    <cellStyle name="Normal 10 2 4 2" xfId="421" xr:uid="{00000000-0005-0000-0000-0000B7010000}"/>
    <cellStyle name="Normal 10 2 40" xfId="422" xr:uid="{00000000-0005-0000-0000-0000B8010000}"/>
    <cellStyle name="Normal 10 2 5" xfId="423" xr:uid="{00000000-0005-0000-0000-0000B9010000}"/>
    <cellStyle name="Normal 10 2 5 2" xfId="424" xr:uid="{00000000-0005-0000-0000-0000BA010000}"/>
    <cellStyle name="Normal 10 2 6" xfId="425" xr:uid="{00000000-0005-0000-0000-0000BB010000}"/>
    <cellStyle name="Normal 10 2 6 2" xfId="426" xr:uid="{00000000-0005-0000-0000-0000BC010000}"/>
    <cellStyle name="Normal 10 2 7" xfId="427" xr:uid="{00000000-0005-0000-0000-0000BD010000}"/>
    <cellStyle name="Normal 10 2 7 2" xfId="428" xr:uid="{00000000-0005-0000-0000-0000BE010000}"/>
    <cellStyle name="Normal 10 2 8" xfId="429" xr:uid="{00000000-0005-0000-0000-0000BF010000}"/>
    <cellStyle name="Normal 10 2 8 2" xfId="430" xr:uid="{00000000-0005-0000-0000-0000C0010000}"/>
    <cellStyle name="Normal 10 2 9" xfId="431" xr:uid="{00000000-0005-0000-0000-0000C1010000}"/>
    <cellStyle name="Normal 10 2 9 2" xfId="432" xr:uid="{00000000-0005-0000-0000-0000C2010000}"/>
    <cellStyle name="Normal 10 2_Configurations FSC" xfId="433" xr:uid="{00000000-0005-0000-0000-0000C3010000}"/>
    <cellStyle name="Normal 10 20" xfId="434" xr:uid="{00000000-0005-0000-0000-0000C4010000}"/>
    <cellStyle name="Normal 10 20 2" xfId="435" xr:uid="{00000000-0005-0000-0000-0000C5010000}"/>
    <cellStyle name="Normal 10 20 2 2" xfId="436" xr:uid="{00000000-0005-0000-0000-0000C6010000}"/>
    <cellStyle name="Normal 10 21" xfId="437" xr:uid="{00000000-0005-0000-0000-0000C7010000}"/>
    <cellStyle name="Normal 10 21 2" xfId="438" xr:uid="{00000000-0005-0000-0000-0000C8010000}"/>
    <cellStyle name="Normal 10 21 2 2" xfId="439" xr:uid="{00000000-0005-0000-0000-0000C9010000}"/>
    <cellStyle name="Normal 10 22" xfId="440" xr:uid="{00000000-0005-0000-0000-0000CA010000}"/>
    <cellStyle name="Normal 10 22 2" xfId="441" xr:uid="{00000000-0005-0000-0000-0000CB010000}"/>
    <cellStyle name="Normal 10 22 2 2" xfId="442" xr:uid="{00000000-0005-0000-0000-0000CC010000}"/>
    <cellStyle name="Normal 10 23" xfId="443" xr:uid="{00000000-0005-0000-0000-0000CD010000}"/>
    <cellStyle name="Normal 10 23 2" xfId="444" xr:uid="{00000000-0005-0000-0000-0000CE010000}"/>
    <cellStyle name="Normal 10 23 2 2" xfId="445" xr:uid="{00000000-0005-0000-0000-0000CF010000}"/>
    <cellStyle name="Normal 10 24" xfId="446" xr:uid="{00000000-0005-0000-0000-0000D0010000}"/>
    <cellStyle name="Normal 10 24 2" xfId="447" xr:uid="{00000000-0005-0000-0000-0000D1010000}"/>
    <cellStyle name="Normal 10 24 2 2" xfId="448" xr:uid="{00000000-0005-0000-0000-0000D2010000}"/>
    <cellStyle name="Normal 10 25" xfId="449" xr:uid="{00000000-0005-0000-0000-0000D3010000}"/>
    <cellStyle name="Normal 10 25 2" xfId="450" xr:uid="{00000000-0005-0000-0000-0000D4010000}"/>
    <cellStyle name="Normal 10 25 2 2" xfId="451" xr:uid="{00000000-0005-0000-0000-0000D5010000}"/>
    <cellStyle name="Normal 10 26" xfId="452" xr:uid="{00000000-0005-0000-0000-0000D6010000}"/>
    <cellStyle name="Normal 10 26 2" xfId="453" xr:uid="{00000000-0005-0000-0000-0000D7010000}"/>
    <cellStyle name="Normal 10 26 2 2" xfId="454" xr:uid="{00000000-0005-0000-0000-0000D8010000}"/>
    <cellStyle name="Normal 10 27" xfId="455" xr:uid="{00000000-0005-0000-0000-0000D9010000}"/>
    <cellStyle name="Normal 10 27 2" xfId="456" xr:uid="{00000000-0005-0000-0000-0000DA010000}"/>
    <cellStyle name="Normal 10 27 2 2" xfId="457" xr:uid="{00000000-0005-0000-0000-0000DB010000}"/>
    <cellStyle name="Normal 10 28" xfId="458" xr:uid="{00000000-0005-0000-0000-0000DC010000}"/>
    <cellStyle name="Normal 10 28 2" xfId="459" xr:uid="{00000000-0005-0000-0000-0000DD010000}"/>
    <cellStyle name="Normal 10 28 2 2" xfId="460" xr:uid="{00000000-0005-0000-0000-0000DE010000}"/>
    <cellStyle name="Normal 10 29" xfId="461" xr:uid="{00000000-0005-0000-0000-0000DF010000}"/>
    <cellStyle name="Normal 10 29 2" xfId="462" xr:uid="{00000000-0005-0000-0000-0000E0010000}"/>
    <cellStyle name="Normal 10 29 2 2" xfId="463" xr:uid="{00000000-0005-0000-0000-0000E1010000}"/>
    <cellStyle name="Normal 10 3" xfId="464" xr:uid="{00000000-0005-0000-0000-0000E2010000}"/>
    <cellStyle name="Normal 10 3 2" xfId="465" xr:uid="{00000000-0005-0000-0000-0000E3010000}"/>
    <cellStyle name="Normal 10 30" xfId="466" xr:uid="{00000000-0005-0000-0000-0000E4010000}"/>
    <cellStyle name="Normal 10 30 2" xfId="467" xr:uid="{00000000-0005-0000-0000-0000E5010000}"/>
    <cellStyle name="Normal 10 30 2 2" xfId="468" xr:uid="{00000000-0005-0000-0000-0000E6010000}"/>
    <cellStyle name="Normal 10 31" xfId="469" xr:uid="{00000000-0005-0000-0000-0000E7010000}"/>
    <cellStyle name="Normal 10 31 2" xfId="470" xr:uid="{00000000-0005-0000-0000-0000E8010000}"/>
    <cellStyle name="Normal 10 31 2 2" xfId="471" xr:uid="{00000000-0005-0000-0000-0000E9010000}"/>
    <cellStyle name="Normal 10 32" xfId="472" xr:uid="{00000000-0005-0000-0000-0000EA010000}"/>
    <cellStyle name="Normal 10 32 2" xfId="473" xr:uid="{00000000-0005-0000-0000-0000EB010000}"/>
    <cellStyle name="Normal 10 32 2 2" xfId="474" xr:uid="{00000000-0005-0000-0000-0000EC010000}"/>
    <cellStyle name="Normal 10 33" xfId="475" xr:uid="{00000000-0005-0000-0000-0000ED010000}"/>
    <cellStyle name="Normal 10 33 2" xfId="476" xr:uid="{00000000-0005-0000-0000-0000EE010000}"/>
    <cellStyle name="Normal 10 33 2 2" xfId="477" xr:uid="{00000000-0005-0000-0000-0000EF010000}"/>
    <cellStyle name="Normal 10 34" xfId="478" xr:uid="{00000000-0005-0000-0000-0000F0010000}"/>
    <cellStyle name="Normal 10 34 2" xfId="479" xr:uid="{00000000-0005-0000-0000-0000F1010000}"/>
    <cellStyle name="Normal 10 34 2 2" xfId="480" xr:uid="{00000000-0005-0000-0000-0000F2010000}"/>
    <cellStyle name="Normal 10 35" xfId="481" xr:uid="{00000000-0005-0000-0000-0000F3010000}"/>
    <cellStyle name="Normal 10 35 2" xfId="482" xr:uid="{00000000-0005-0000-0000-0000F4010000}"/>
    <cellStyle name="Normal 10 35 2 2" xfId="483" xr:uid="{00000000-0005-0000-0000-0000F5010000}"/>
    <cellStyle name="Normal 10 36" xfId="484" xr:uid="{00000000-0005-0000-0000-0000F6010000}"/>
    <cellStyle name="Normal 10 36 2" xfId="485" xr:uid="{00000000-0005-0000-0000-0000F7010000}"/>
    <cellStyle name="Normal 10 36 2 2" xfId="486" xr:uid="{00000000-0005-0000-0000-0000F8010000}"/>
    <cellStyle name="Normal 10 37" xfId="487" xr:uid="{00000000-0005-0000-0000-0000F9010000}"/>
    <cellStyle name="Normal 10 37 2" xfId="488" xr:uid="{00000000-0005-0000-0000-0000FA010000}"/>
    <cellStyle name="Normal 10 37 2 2" xfId="489" xr:uid="{00000000-0005-0000-0000-0000FB010000}"/>
    <cellStyle name="Normal 10 38" xfId="490" xr:uid="{00000000-0005-0000-0000-0000FC010000}"/>
    <cellStyle name="Normal 10 38 2" xfId="491" xr:uid="{00000000-0005-0000-0000-0000FD010000}"/>
    <cellStyle name="Normal 10 38 2 2" xfId="492" xr:uid="{00000000-0005-0000-0000-0000FE010000}"/>
    <cellStyle name="Normal 10 39" xfId="493" xr:uid="{00000000-0005-0000-0000-0000FF010000}"/>
    <cellStyle name="Normal 10 39 2" xfId="494" xr:uid="{00000000-0005-0000-0000-000000020000}"/>
    <cellStyle name="Normal 10 39 2 2" xfId="495" xr:uid="{00000000-0005-0000-0000-000001020000}"/>
    <cellStyle name="Normal 10 4" xfId="496" xr:uid="{00000000-0005-0000-0000-000002020000}"/>
    <cellStyle name="Normal 10 4 2" xfId="497" xr:uid="{00000000-0005-0000-0000-000003020000}"/>
    <cellStyle name="Normal 10 40" xfId="498" xr:uid="{00000000-0005-0000-0000-000004020000}"/>
    <cellStyle name="Normal 10 40 2" xfId="499" xr:uid="{00000000-0005-0000-0000-000005020000}"/>
    <cellStyle name="Normal 10 40 2 2" xfId="500" xr:uid="{00000000-0005-0000-0000-000006020000}"/>
    <cellStyle name="Normal 10 41" xfId="501" xr:uid="{00000000-0005-0000-0000-000007020000}"/>
    <cellStyle name="Normal 10 41 2" xfId="502" xr:uid="{00000000-0005-0000-0000-000008020000}"/>
    <cellStyle name="Normal 10 41 2 2" xfId="503" xr:uid="{00000000-0005-0000-0000-000009020000}"/>
    <cellStyle name="Normal 10 5" xfId="504" xr:uid="{00000000-0005-0000-0000-00000A020000}"/>
    <cellStyle name="Normal 10 5 2" xfId="505" xr:uid="{00000000-0005-0000-0000-00000B020000}"/>
    <cellStyle name="Normal 10 5 2 2" xfId="506" xr:uid="{00000000-0005-0000-0000-00000C020000}"/>
    <cellStyle name="Normal 10 6" xfId="507" xr:uid="{00000000-0005-0000-0000-00000D020000}"/>
    <cellStyle name="Normal 10 6 2" xfId="508" xr:uid="{00000000-0005-0000-0000-00000E020000}"/>
    <cellStyle name="Normal 10 6 2 2" xfId="509" xr:uid="{00000000-0005-0000-0000-00000F020000}"/>
    <cellStyle name="Normal 10 7" xfId="510" xr:uid="{00000000-0005-0000-0000-000010020000}"/>
    <cellStyle name="Normal 10 7 2" xfId="511" xr:uid="{00000000-0005-0000-0000-000011020000}"/>
    <cellStyle name="Normal 10 7 2 2" xfId="512" xr:uid="{00000000-0005-0000-0000-000012020000}"/>
    <cellStyle name="Normal 10 8" xfId="513" xr:uid="{00000000-0005-0000-0000-000013020000}"/>
    <cellStyle name="Normal 10 8 2" xfId="514" xr:uid="{00000000-0005-0000-0000-000014020000}"/>
    <cellStyle name="Normal 10 8 2 2" xfId="515" xr:uid="{00000000-0005-0000-0000-000015020000}"/>
    <cellStyle name="Normal 10 9" xfId="516" xr:uid="{00000000-0005-0000-0000-000016020000}"/>
    <cellStyle name="Normal 10 9 2" xfId="517" xr:uid="{00000000-0005-0000-0000-000017020000}"/>
    <cellStyle name="Normal 10 9 2 2" xfId="518" xr:uid="{00000000-0005-0000-0000-000018020000}"/>
    <cellStyle name="Normal 10_Configurations FSC" xfId="519" xr:uid="{00000000-0005-0000-0000-000019020000}"/>
    <cellStyle name="Normal 100" xfId="520" xr:uid="{00000000-0005-0000-0000-00001A020000}"/>
    <cellStyle name="Normal 100 2" xfId="521" xr:uid="{00000000-0005-0000-0000-00001B020000}"/>
    <cellStyle name="Normal 100 2 2" xfId="522" xr:uid="{00000000-0005-0000-0000-00001C020000}"/>
    <cellStyle name="Normal 101" xfId="523" xr:uid="{00000000-0005-0000-0000-00001D020000}"/>
    <cellStyle name="Normal 101 2" xfId="524" xr:uid="{00000000-0005-0000-0000-00001E020000}"/>
    <cellStyle name="Normal 101 2 2" xfId="525" xr:uid="{00000000-0005-0000-0000-00001F020000}"/>
    <cellStyle name="Normal 102" xfId="526" xr:uid="{00000000-0005-0000-0000-000020020000}"/>
    <cellStyle name="Normal 102 2" xfId="527" xr:uid="{00000000-0005-0000-0000-000021020000}"/>
    <cellStyle name="Normal 102 2 2" xfId="528" xr:uid="{00000000-0005-0000-0000-000022020000}"/>
    <cellStyle name="Normal 103" xfId="529" xr:uid="{00000000-0005-0000-0000-000023020000}"/>
    <cellStyle name="Normal 103 2" xfId="530" xr:uid="{00000000-0005-0000-0000-000024020000}"/>
    <cellStyle name="Normal 103 2 2" xfId="531" xr:uid="{00000000-0005-0000-0000-000025020000}"/>
    <cellStyle name="Normal 104" xfId="532" xr:uid="{00000000-0005-0000-0000-000026020000}"/>
    <cellStyle name="Normal 104 2" xfId="533" xr:uid="{00000000-0005-0000-0000-000027020000}"/>
    <cellStyle name="Normal 104 2 2" xfId="534" xr:uid="{00000000-0005-0000-0000-000028020000}"/>
    <cellStyle name="Normal 105" xfId="535" xr:uid="{00000000-0005-0000-0000-000029020000}"/>
    <cellStyle name="Normal 105 2" xfId="536" xr:uid="{00000000-0005-0000-0000-00002A020000}"/>
    <cellStyle name="Normal 105 2 2" xfId="537" xr:uid="{00000000-0005-0000-0000-00002B020000}"/>
    <cellStyle name="Normal 106" xfId="538" xr:uid="{00000000-0005-0000-0000-00002C020000}"/>
    <cellStyle name="Normal 106 2" xfId="539" xr:uid="{00000000-0005-0000-0000-00002D020000}"/>
    <cellStyle name="Normal 106 2 2" xfId="540" xr:uid="{00000000-0005-0000-0000-00002E020000}"/>
    <cellStyle name="Normal 107" xfId="541" xr:uid="{00000000-0005-0000-0000-00002F020000}"/>
    <cellStyle name="Normal 107 2" xfId="542" xr:uid="{00000000-0005-0000-0000-000030020000}"/>
    <cellStyle name="Normal 107 2 2" xfId="543" xr:uid="{00000000-0005-0000-0000-000031020000}"/>
    <cellStyle name="Normal 108" xfId="544" xr:uid="{00000000-0005-0000-0000-000032020000}"/>
    <cellStyle name="Normal 108 2" xfId="545" xr:uid="{00000000-0005-0000-0000-000033020000}"/>
    <cellStyle name="Normal 108 2 2" xfId="546" xr:uid="{00000000-0005-0000-0000-000034020000}"/>
    <cellStyle name="Normal 109" xfId="547" xr:uid="{00000000-0005-0000-0000-000035020000}"/>
    <cellStyle name="Normal 109 2" xfId="548" xr:uid="{00000000-0005-0000-0000-000036020000}"/>
    <cellStyle name="Normal 109 2 2" xfId="549" xr:uid="{00000000-0005-0000-0000-000037020000}"/>
    <cellStyle name="Normal 11" xfId="550" xr:uid="{00000000-0005-0000-0000-000038020000}"/>
    <cellStyle name="Normal 11 10" xfId="551" xr:uid="{00000000-0005-0000-0000-000039020000}"/>
    <cellStyle name="Normal 11 10 2" xfId="552" xr:uid="{00000000-0005-0000-0000-00003A020000}"/>
    <cellStyle name="Normal 11 10 2 2" xfId="553" xr:uid="{00000000-0005-0000-0000-00003B020000}"/>
    <cellStyle name="Normal 11 100" xfId="554" xr:uid="{00000000-0005-0000-0000-00003C020000}"/>
    <cellStyle name="Normal 11 100 2" xfId="555" xr:uid="{00000000-0005-0000-0000-00003D020000}"/>
    <cellStyle name="Normal 11 100 2 2" xfId="556" xr:uid="{00000000-0005-0000-0000-00003E020000}"/>
    <cellStyle name="Normal 11 101" xfId="557" xr:uid="{00000000-0005-0000-0000-00003F020000}"/>
    <cellStyle name="Normal 11 101 2" xfId="558" xr:uid="{00000000-0005-0000-0000-000040020000}"/>
    <cellStyle name="Normal 11 101 2 2" xfId="559" xr:uid="{00000000-0005-0000-0000-000041020000}"/>
    <cellStyle name="Normal 11 102" xfId="560" xr:uid="{00000000-0005-0000-0000-000042020000}"/>
    <cellStyle name="Normal 11 102 2" xfId="561" xr:uid="{00000000-0005-0000-0000-000043020000}"/>
    <cellStyle name="Normal 11 102 2 2" xfId="562" xr:uid="{00000000-0005-0000-0000-000044020000}"/>
    <cellStyle name="Normal 11 103" xfId="563" xr:uid="{00000000-0005-0000-0000-000045020000}"/>
    <cellStyle name="Normal 11 103 2" xfId="564" xr:uid="{00000000-0005-0000-0000-000046020000}"/>
    <cellStyle name="Normal 11 103 2 2" xfId="565" xr:uid="{00000000-0005-0000-0000-000047020000}"/>
    <cellStyle name="Normal 11 104" xfId="566" xr:uid="{00000000-0005-0000-0000-000048020000}"/>
    <cellStyle name="Normal 11 104 2" xfId="567" xr:uid="{00000000-0005-0000-0000-000049020000}"/>
    <cellStyle name="Normal 11 104 2 2" xfId="568" xr:uid="{00000000-0005-0000-0000-00004A020000}"/>
    <cellStyle name="Normal 11 105" xfId="569" xr:uid="{00000000-0005-0000-0000-00004B020000}"/>
    <cellStyle name="Normal 11 105 2" xfId="570" xr:uid="{00000000-0005-0000-0000-00004C020000}"/>
    <cellStyle name="Normal 11 105 2 2" xfId="571" xr:uid="{00000000-0005-0000-0000-00004D020000}"/>
    <cellStyle name="Normal 11 106" xfId="572" xr:uid="{00000000-0005-0000-0000-00004E020000}"/>
    <cellStyle name="Normal 11 106 2" xfId="573" xr:uid="{00000000-0005-0000-0000-00004F020000}"/>
    <cellStyle name="Normal 11 106 2 2" xfId="574" xr:uid="{00000000-0005-0000-0000-000050020000}"/>
    <cellStyle name="Normal 11 107" xfId="575" xr:uid="{00000000-0005-0000-0000-000051020000}"/>
    <cellStyle name="Normal 11 107 2" xfId="576" xr:uid="{00000000-0005-0000-0000-000052020000}"/>
    <cellStyle name="Normal 11 107 2 2" xfId="577" xr:uid="{00000000-0005-0000-0000-000053020000}"/>
    <cellStyle name="Normal 11 108" xfId="578" xr:uid="{00000000-0005-0000-0000-000054020000}"/>
    <cellStyle name="Normal 11 108 2" xfId="579" xr:uid="{00000000-0005-0000-0000-000055020000}"/>
    <cellStyle name="Normal 11 108 2 2" xfId="580" xr:uid="{00000000-0005-0000-0000-000056020000}"/>
    <cellStyle name="Normal 11 109" xfId="581" xr:uid="{00000000-0005-0000-0000-000057020000}"/>
    <cellStyle name="Normal 11 109 2" xfId="582" xr:uid="{00000000-0005-0000-0000-000058020000}"/>
    <cellStyle name="Normal 11 109 2 2" xfId="583" xr:uid="{00000000-0005-0000-0000-000059020000}"/>
    <cellStyle name="Normal 11 11" xfId="584" xr:uid="{00000000-0005-0000-0000-00005A020000}"/>
    <cellStyle name="Normal 11 11 2" xfId="585" xr:uid="{00000000-0005-0000-0000-00005B020000}"/>
    <cellStyle name="Normal 11 11 2 2" xfId="586" xr:uid="{00000000-0005-0000-0000-00005C020000}"/>
    <cellStyle name="Normal 11 110" xfId="587" xr:uid="{00000000-0005-0000-0000-00005D020000}"/>
    <cellStyle name="Normal 11 110 2" xfId="588" xr:uid="{00000000-0005-0000-0000-00005E020000}"/>
    <cellStyle name="Normal 11 110 2 2" xfId="589" xr:uid="{00000000-0005-0000-0000-00005F020000}"/>
    <cellStyle name="Normal 11 111" xfId="590" xr:uid="{00000000-0005-0000-0000-000060020000}"/>
    <cellStyle name="Normal 11 111 2" xfId="591" xr:uid="{00000000-0005-0000-0000-000061020000}"/>
    <cellStyle name="Normal 11 111 2 2" xfId="592" xr:uid="{00000000-0005-0000-0000-000062020000}"/>
    <cellStyle name="Normal 11 112" xfId="593" xr:uid="{00000000-0005-0000-0000-000063020000}"/>
    <cellStyle name="Normal 11 112 2" xfId="594" xr:uid="{00000000-0005-0000-0000-000064020000}"/>
    <cellStyle name="Normal 11 112 2 2" xfId="595" xr:uid="{00000000-0005-0000-0000-000065020000}"/>
    <cellStyle name="Normal 11 113" xfId="596" xr:uid="{00000000-0005-0000-0000-000066020000}"/>
    <cellStyle name="Normal 11 113 2" xfId="597" xr:uid="{00000000-0005-0000-0000-000067020000}"/>
    <cellStyle name="Normal 11 113 2 2" xfId="598" xr:uid="{00000000-0005-0000-0000-000068020000}"/>
    <cellStyle name="Normal 11 114" xfId="599" xr:uid="{00000000-0005-0000-0000-000069020000}"/>
    <cellStyle name="Normal 11 114 2" xfId="600" xr:uid="{00000000-0005-0000-0000-00006A020000}"/>
    <cellStyle name="Normal 11 114 2 2" xfId="601" xr:uid="{00000000-0005-0000-0000-00006B020000}"/>
    <cellStyle name="Normal 11 115" xfId="602" xr:uid="{00000000-0005-0000-0000-00006C020000}"/>
    <cellStyle name="Normal 11 115 2" xfId="603" xr:uid="{00000000-0005-0000-0000-00006D020000}"/>
    <cellStyle name="Normal 11 115 2 2" xfId="604" xr:uid="{00000000-0005-0000-0000-00006E020000}"/>
    <cellStyle name="Normal 11 116" xfId="605" xr:uid="{00000000-0005-0000-0000-00006F020000}"/>
    <cellStyle name="Normal 11 116 2" xfId="606" xr:uid="{00000000-0005-0000-0000-000070020000}"/>
    <cellStyle name="Normal 11 116 2 2" xfId="607" xr:uid="{00000000-0005-0000-0000-000071020000}"/>
    <cellStyle name="Normal 11 117" xfId="608" xr:uid="{00000000-0005-0000-0000-000072020000}"/>
    <cellStyle name="Normal 11 117 2" xfId="609" xr:uid="{00000000-0005-0000-0000-000073020000}"/>
    <cellStyle name="Normal 11 117 2 2" xfId="610" xr:uid="{00000000-0005-0000-0000-000074020000}"/>
    <cellStyle name="Normal 11 118" xfId="611" xr:uid="{00000000-0005-0000-0000-000075020000}"/>
    <cellStyle name="Normal 11 118 2" xfId="612" xr:uid="{00000000-0005-0000-0000-000076020000}"/>
    <cellStyle name="Normal 11 118 2 2" xfId="613" xr:uid="{00000000-0005-0000-0000-000077020000}"/>
    <cellStyle name="Normal 11 119" xfId="614" xr:uid="{00000000-0005-0000-0000-000078020000}"/>
    <cellStyle name="Normal 11 119 2" xfId="615" xr:uid="{00000000-0005-0000-0000-000079020000}"/>
    <cellStyle name="Normal 11 119 2 2" xfId="616" xr:uid="{00000000-0005-0000-0000-00007A020000}"/>
    <cellStyle name="Normal 11 12" xfId="617" xr:uid="{00000000-0005-0000-0000-00007B020000}"/>
    <cellStyle name="Normal 11 12 2" xfId="618" xr:uid="{00000000-0005-0000-0000-00007C020000}"/>
    <cellStyle name="Normal 11 12 2 2" xfId="619" xr:uid="{00000000-0005-0000-0000-00007D020000}"/>
    <cellStyle name="Normal 11 120" xfId="620" xr:uid="{00000000-0005-0000-0000-00007E020000}"/>
    <cellStyle name="Normal 11 120 2" xfId="621" xr:uid="{00000000-0005-0000-0000-00007F020000}"/>
    <cellStyle name="Normal 11 120 2 2" xfId="622" xr:uid="{00000000-0005-0000-0000-000080020000}"/>
    <cellStyle name="Normal 11 121" xfId="623" xr:uid="{00000000-0005-0000-0000-000081020000}"/>
    <cellStyle name="Normal 11 121 2" xfId="624" xr:uid="{00000000-0005-0000-0000-000082020000}"/>
    <cellStyle name="Normal 11 121 2 2" xfId="625" xr:uid="{00000000-0005-0000-0000-000083020000}"/>
    <cellStyle name="Normal 11 122" xfId="626" xr:uid="{00000000-0005-0000-0000-000084020000}"/>
    <cellStyle name="Normal 11 122 2" xfId="627" xr:uid="{00000000-0005-0000-0000-000085020000}"/>
    <cellStyle name="Normal 11 122 2 2" xfId="628" xr:uid="{00000000-0005-0000-0000-000086020000}"/>
    <cellStyle name="Normal 11 123" xfId="629" xr:uid="{00000000-0005-0000-0000-000087020000}"/>
    <cellStyle name="Normal 11 123 2" xfId="630" xr:uid="{00000000-0005-0000-0000-000088020000}"/>
    <cellStyle name="Normal 11 123 2 2" xfId="631" xr:uid="{00000000-0005-0000-0000-000089020000}"/>
    <cellStyle name="Normal 11 124" xfId="632" xr:uid="{00000000-0005-0000-0000-00008A020000}"/>
    <cellStyle name="Normal 11 124 2" xfId="633" xr:uid="{00000000-0005-0000-0000-00008B020000}"/>
    <cellStyle name="Normal 11 124 2 2" xfId="634" xr:uid="{00000000-0005-0000-0000-00008C020000}"/>
    <cellStyle name="Normal 11 125" xfId="635" xr:uid="{00000000-0005-0000-0000-00008D020000}"/>
    <cellStyle name="Normal 11 125 2" xfId="636" xr:uid="{00000000-0005-0000-0000-00008E020000}"/>
    <cellStyle name="Normal 11 125 2 2" xfId="637" xr:uid="{00000000-0005-0000-0000-00008F020000}"/>
    <cellStyle name="Normal 11 126" xfId="638" xr:uid="{00000000-0005-0000-0000-000090020000}"/>
    <cellStyle name="Normal 11 126 2" xfId="639" xr:uid="{00000000-0005-0000-0000-000091020000}"/>
    <cellStyle name="Normal 11 126 2 2" xfId="640" xr:uid="{00000000-0005-0000-0000-000092020000}"/>
    <cellStyle name="Normal 11 127" xfId="641" xr:uid="{00000000-0005-0000-0000-000093020000}"/>
    <cellStyle name="Normal 11 127 2" xfId="642" xr:uid="{00000000-0005-0000-0000-000094020000}"/>
    <cellStyle name="Normal 11 127 2 2" xfId="643" xr:uid="{00000000-0005-0000-0000-000095020000}"/>
    <cellStyle name="Normal 11 128" xfId="644" xr:uid="{00000000-0005-0000-0000-000096020000}"/>
    <cellStyle name="Normal 11 128 2" xfId="645" xr:uid="{00000000-0005-0000-0000-000097020000}"/>
    <cellStyle name="Normal 11 128 2 2" xfId="646" xr:uid="{00000000-0005-0000-0000-000098020000}"/>
    <cellStyle name="Normal 11 129" xfId="647" xr:uid="{00000000-0005-0000-0000-000099020000}"/>
    <cellStyle name="Normal 11 129 2" xfId="648" xr:uid="{00000000-0005-0000-0000-00009A020000}"/>
    <cellStyle name="Normal 11 129 2 2" xfId="649" xr:uid="{00000000-0005-0000-0000-00009B020000}"/>
    <cellStyle name="Normal 11 13" xfId="650" xr:uid="{00000000-0005-0000-0000-00009C020000}"/>
    <cellStyle name="Normal 11 13 2" xfId="651" xr:uid="{00000000-0005-0000-0000-00009D020000}"/>
    <cellStyle name="Normal 11 13 2 2" xfId="652" xr:uid="{00000000-0005-0000-0000-00009E020000}"/>
    <cellStyle name="Normal 11 130" xfId="653" xr:uid="{00000000-0005-0000-0000-00009F020000}"/>
    <cellStyle name="Normal 11 130 2" xfId="654" xr:uid="{00000000-0005-0000-0000-0000A0020000}"/>
    <cellStyle name="Normal 11 130 2 2" xfId="655" xr:uid="{00000000-0005-0000-0000-0000A1020000}"/>
    <cellStyle name="Normal 11 131" xfId="656" xr:uid="{00000000-0005-0000-0000-0000A2020000}"/>
    <cellStyle name="Normal 11 131 2" xfId="657" xr:uid="{00000000-0005-0000-0000-0000A3020000}"/>
    <cellStyle name="Normal 11 131 2 2" xfId="658" xr:uid="{00000000-0005-0000-0000-0000A4020000}"/>
    <cellStyle name="Normal 11 132" xfId="659" xr:uid="{00000000-0005-0000-0000-0000A5020000}"/>
    <cellStyle name="Normal 11 132 2" xfId="660" xr:uid="{00000000-0005-0000-0000-0000A6020000}"/>
    <cellStyle name="Normal 11 132 2 2" xfId="661" xr:uid="{00000000-0005-0000-0000-0000A7020000}"/>
    <cellStyle name="Normal 11 133" xfId="662" xr:uid="{00000000-0005-0000-0000-0000A8020000}"/>
    <cellStyle name="Normal 11 133 2" xfId="663" xr:uid="{00000000-0005-0000-0000-0000A9020000}"/>
    <cellStyle name="Normal 11 133 2 2" xfId="664" xr:uid="{00000000-0005-0000-0000-0000AA020000}"/>
    <cellStyle name="Normal 11 134" xfId="665" xr:uid="{00000000-0005-0000-0000-0000AB020000}"/>
    <cellStyle name="Normal 11 134 2" xfId="666" xr:uid="{00000000-0005-0000-0000-0000AC020000}"/>
    <cellStyle name="Normal 11 134 2 2" xfId="667" xr:uid="{00000000-0005-0000-0000-0000AD020000}"/>
    <cellStyle name="Normal 11 135" xfId="668" xr:uid="{00000000-0005-0000-0000-0000AE020000}"/>
    <cellStyle name="Normal 11 135 2" xfId="669" xr:uid="{00000000-0005-0000-0000-0000AF020000}"/>
    <cellStyle name="Normal 11 135 2 2" xfId="670" xr:uid="{00000000-0005-0000-0000-0000B0020000}"/>
    <cellStyle name="Normal 11 136" xfId="671" xr:uid="{00000000-0005-0000-0000-0000B1020000}"/>
    <cellStyle name="Normal 11 136 2" xfId="672" xr:uid="{00000000-0005-0000-0000-0000B2020000}"/>
    <cellStyle name="Normal 11 136 2 2" xfId="673" xr:uid="{00000000-0005-0000-0000-0000B3020000}"/>
    <cellStyle name="Normal 11 137" xfId="674" xr:uid="{00000000-0005-0000-0000-0000B4020000}"/>
    <cellStyle name="Normal 11 137 2" xfId="675" xr:uid="{00000000-0005-0000-0000-0000B5020000}"/>
    <cellStyle name="Normal 11 137 2 2" xfId="676" xr:uid="{00000000-0005-0000-0000-0000B6020000}"/>
    <cellStyle name="Normal 11 138" xfId="677" xr:uid="{00000000-0005-0000-0000-0000B7020000}"/>
    <cellStyle name="Normal 11 138 2" xfId="678" xr:uid="{00000000-0005-0000-0000-0000B8020000}"/>
    <cellStyle name="Normal 11 138 2 2" xfId="679" xr:uid="{00000000-0005-0000-0000-0000B9020000}"/>
    <cellStyle name="Normal 11 139" xfId="680" xr:uid="{00000000-0005-0000-0000-0000BA020000}"/>
    <cellStyle name="Normal 11 139 2" xfId="681" xr:uid="{00000000-0005-0000-0000-0000BB020000}"/>
    <cellStyle name="Normal 11 139 2 2" xfId="682" xr:uid="{00000000-0005-0000-0000-0000BC020000}"/>
    <cellStyle name="Normal 11 14" xfId="683" xr:uid="{00000000-0005-0000-0000-0000BD020000}"/>
    <cellStyle name="Normal 11 14 2" xfId="684" xr:uid="{00000000-0005-0000-0000-0000BE020000}"/>
    <cellStyle name="Normal 11 14 2 2" xfId="685" xr:uid="{00000000-0005-0000-0000-0000BF020000}"/>
    <cellStyle name="Normal 11 140" xfId="686" xr:uid="{00000000-0005-0000-0000-0000C0020000}"/>
    <cellStyle name="Normal 11 140 2" xfId="687" xr:uid="{00000000-0005-0000-0000-0000C1020000}"/>
    <cellStyle name="Normal 11 140 2 2" xfId="688" xr:uid="{00000000-0005-0000-0000-0000C2020000}"/>
    <cellStyle name="Normal 11 141" xfId="689" xr:uid="{00000000-0005-0000-0000-0000C3020000}"/>
    <cellStyle name="Normal 11 141 2" xfId="690" xr:uid="{00000000-0005-0000-0000-0000C4020000}"/>
    <cellStyle name="Normal 11 141 2 2" xfId="691" xr:uid="{00000000-0005-0000-0000-0000C5020000}"/>
    <cellStyle name="Normal 11 142" xfId="692" xr:uid="{00000000-0005-0000-0000-0000C6020000}"/>
    <cellStyle name="Normal 11 142 2" xfId="693" xr:uid="{00000000-0005-0000-0000-0000C7020000}"/>
    <cellStyle name="Normal 11 142 2 2" xfId="694" xr:uid="{00000000-0005-0000-0000-0000C8020000}"/>
    <cellStyle name="Normal 11 143" xfId="695" xr:uid="{00000000-0005-0000-0000-0000C9020000}"/>
    <cellStyle name="Normal 11 143 2" xfId="696" xr:uid="{00000000-0005-0000-0000-0000CA020000}"/>
    <cellStyle name="Normal 11 143 2 2" xfId="697" xr:uid="{00000000-0005-0000-0000-0000CB020000}"/>
    <cellStyle name="Normal 11 144" xfId="698" xr:uid="{00000000-0005-0000-0000-0000CC020000}"/>
    <cellStyle name="Normal 11 144 2" xfId="699" xr:uid="{00000000-0005-0000-0000-0000CD020000}"/>
    <cellStyle name="Normal 11 144 2 2" xfId="700" xr:uid="{00000000-0005-0000-0000-0000CE020000}"/>
    <cellStyle name="Normal 11 145" xfId="701" xr:uid="{00000000-0005-0000-0000-0000CF020000}"/>
    <cellStyle name="Normal 11 145 2" xfId="702" xr:uid="{00000000-0005-0000-0000-0000D0020000}"/>
    <cellStyle name="Normal 11 145 2 2" xfId="703" xr:uid="{00000000-0005-0000-0000-0000D1020000}"/>
    <cellStyle name="Normal 11 146" xfId="704" xr:uid="{00000000-0005-0000-0000-0000D2020000}"/>
    <cellStyle name="Normal 11 146 2" xfId="705" xr:uid="{00000000-0005-0000-0000-0000D3020000}"/>
    <cellStyle name="Normal 11 146 2 2" xfId="706" xr:uid="{00000000-0005-0000-0000-0000D4020000}"/>
    <cellStyle name="Normal 11 147" xfId="707" xr:uid="{00000000-0005-0000-0000-0000D5020000}"/>
    <cellStyle name="Normal 11 147 2" xfId="708" xr:uid="{00000000-0005-0000-0000-0000D6020000}"/>
    <cellStyle name="Normal 11 147 2 2" xfId="709" xr:uid="{00000000-0005-0000-0000-0000D7020000}"/>
    <cellStyle name="Normal 11 148" xfId="710" xr:uid="{00000000-0005-0000-0000-0000D8020000}"/>
    <cellStyle name="Normal 11 148 2" xfId="711" xr:uid="{00000000-0005-0000-0000-0000D9020000}"/>
    <cellStyle name="Normal 11 148 2 2" xfId="712" xr:uid="{00000000-0005-0000-0000-0000DA020000}"/>
    <cellStyle name="Normal 11 149" xfId="713" xr:uid="{00000000-0005-0000-0000-0000DB020000}"/>
    <cellStyle name="Normal 11 149 2" xfId="714" xr:uid="{00000000-0005-0000-0000-0000DC020000}"/>
    <cellStyle name="Normal 11 149 2 2" xfId="715" xr:uid="{00000000-0005-0000-0000-0000DD020000}"/>
    <cellStyle name="Normal 11 15" xfId="716" xr:uid="{00000000-0005-0000-0000-0000DE020000}"/>
    <cellStyle name="Normal 11 15 2" xfId="717" xr:uid="{00000000-0005-0000-0000-0000DF020000}"/>
    <cellStyle name="Normal 11 15 2 2" xfId="718" xr:uid="{00000000-0005-0000-0000-0000E0020000}"/>
    <cellStyle name="Normal 11 16" xfId="719" xr:uid="{00000000-0005-0000-0000-0000E1020000}"/>
    <cellStyle name="Normal 11 16 2" xfId="720" xr:uid="{00000000-0005-0000-0000-0000E2020000}"/>
    <cellStyle name="Normal 11 16 2 2" xfId="721" xr:uid="{00000000-0005-0000-0000-0000E3020000}"/>
    <cellStyle name="Normal 11 17" xfId="722" xr:uid="{00000000-0005-0000-0000-0000E4020000}"/>
    <cellStyle name="Normal 11 17 2" xfId="723" xr:uid="{00000000-0005-0000-0000-0000E5020000}"/>
    <cellStyle name="Normal 11 17 2 2" xfId="724" xr:uid="{00000000-0005-0000-0000-0000E6020000}"/>
    <cellStyle name="Normal 11 18" xfId="725" xr:uid="{00000000-0005-0000-0000-0000E7020000}"/>
    <cellStyle name="Normal 11 18 2" xfId="726" xr:uid="{00000000-0005-0000-0000-0000E8020000}"/>
    <cellStyle name="Normal 11 18 2 2" xfId="727" xr:uid="{00000000-0005-0000-0000-0000E9020000}"/>
    <cellStyle name="Normal 11 19" xfId="728" xr:uid="{00000000-0005-0000-0000-0000EA020000}"/>
    <cellStyle name="Normal 11 19 2" xfId="729" xr:uid="{00000000-0005-0000-0000-0000EB020000}"/>
    <cellStyle name="Normal 11 19 2 2" xfId="730" xr:uid="{00000000-0005-0000-0000-0000EC020000}"/>
    <cellStyle name="Normal 11 2" xfId="731" xr:uid="{00000000-0005-0000-0000-0000ED020000}"/>
    <cellStyle name="Normal 11 2 10" xfId="732" xr:uid="{00000000-0005-0000-0000-0000EE020000}"/>
    <cellStyle name="Normal 11 2 10 2" xfId="733" xr:uid="{00000000-0005-0000-0000-0000EF020000}"/>
    <cellStyle name="Normal 11 2 11" xfId="734" xr:uid="{00000000-0005-0000-0000-0000F0020000}"/>
    <cellStyle name="Normal 11 2 11 2" xfId="735" xr:uid="{00000000-0005-0000-0000-0000F1020000}"/>
    <cellStyle name="Normal 11 2 12" xfId="736" xr:uid="{00000000-0005-0000-0000-0000F2020000}"/>
    <cellStyle name="Normal 11 2 12 2" xfId="737" xr:uid="{00000000-0005-0000-0000-0000F3020000}"/>
    <cellStyle name="Normal 11 2 13" xfId="738" xr:uid="{00000000-0005-0000-0000-0000F4020000}"/>
    <cellStyle name="Normal 11 2 13 2" xfId="739" xr:uid="{00000000-0005-0000-0000-0000F5020000}"/>
    <cellStyle name="Normal 11 2 14" xfId="740" xr:uid="{00000000-0005-0000-0000-0000F6020000}"/>
    <cellStyle name="Normal 11 2 14 2" xfId="741" xr:uid="{00000000-0005-0000-0000-0000F7020000}"/>
    <cellStyle name="Normal 11 2 15" xfId="742" xr:uid="{00000000-0005-0000-0000-0000F8020000}"/>
    <cellStyle name="Normal 11 2 15 2" xfId="743" xr:uid="{00000000-0005-0000-0000-0000F9020000}"/>
    <cellStyle name="Normal 11 2 16" xfId="744" xr:uid="{00000000-0005-0000-0000-0000FA020000}"/>
    <cellStyle name="Normal 11 2 16 2" xfId="745" xr:uid="{00000000-0005-0000-0000-0000FB020000}"/>
    <cellStyle name="Normal 11 2 17" xfId="746" xr:uid="{00000000-0005-0000-0000-0000FC020000}"/>
    <cellStyle name="Normal 11 2 17 2" xfId="747" xr:uid="{00000000-0005-0000-0000-0000FD020000}"/>
    <cellStyle name="Normal 11 2 18" xfId="748" xr:uid="{00000000-0005-0000-0000-0000FE020000}"/>
    <cellStyle name="Normal 11 2 18 2" xfId="749" xr:uid="{00000000-0005-0000-0000-0000FF020000}"/>
    <cellStyle name="Normal 11 2 19" xfId="750" xr:uid="{00000000-0005-0000-0000-000000030000}"/>
    <cellStyle name="Normal 11 2 19 2" xfId="751" xr:uid="{00000000-0005-0000-0000-000001030000}"/>
    <cellStyle name="Normal 11 2 2" xfId="752" xr:uid="{00000000-0005-0000-0000-000002030000}"/>
    <cellStyle name="Normal 11 2 2 2" xfId="753" xr:uid="{00000000-0005-0000-0000-000003030000}"/>
    <cellStyle name="Normal 11 2 20" xfId="754" xr:uid="{00000000-0005-0000-0000-000004030000}"/>
    <cellStyle name="Normal 11 2 20 2" xfId="755" xr:uid="{00000000-0005-0000-0000-000005030000}"/>
    <cellStyle name="Normal 11 2 21" xfId="756" xr:uid="{00000000-0005-0000-0000-000006030000}"/>
    <cellStyle name="Normal 11 2 21 2" xfId="757" xr:uid="{00000000-0005-0000-0000-000007030000}"/>
    <cellStyle name="Normal 11 2 22" xfId="758" xr:uid="{00000000-0005-0000-0000-000008030000}"/>
    <cellStyle name="Normal 11 2 22 2" xfId="759" xr:uid="{00000000-0005-0000-0000-000009030000}"/>
    <cellStyle name="Normal 11 2 23" xfId="760" xr:uid="{00000000-0005-0000-0000-00000A030000}"/>
    <cellStyle name="Normal 11 2 23 2" xfId="761" xr:uid="{00000000-0005-0000-0000-00000B030000}"/>
    <cellStyle name="Normal 11 2 24" xfId="762" xr:uid="{00000000-0005-0000-0000-00000C030000}"/>
    <cellStyle name="Normal 11 2 24 2" xfId="763" xr:uid="{00000000-0005-0000-0000-00000D030000}"/>
    <cellStyle name="Normal 11 2 25" xfId="764" xr:uid="{00000000-0005-0000-0000-00000E030000}"/>
    <cellStyle name="Normal 11 2 25 2" xfId="765" xr:uid="{00000000-0005-0000-0000-00000F030000}"/>
    <cellStyle name="Normal 11 2 26" xfId="766" xr:uid="{00000000-0005-0000-0000-000010030000}"/>
    <cellStyle name="Normal 11 2 26 2" xfId="767" xr:uid="{00000000-0005-0000-0000-000011030000}"/>
    <cellStyle name="Normal 11 2 27" xfId="768" xr:uid="{00000000-0005-0000-0000-000012030000}"/>
    <cellStyle name="Normal 11 2 27 2" xfId="769" xr:uid="{00000000-0005-0000-0000-000013030000}"/>
    <cellStyle name="Normal 11 2 28" xfId="770" xr:uid="{00000000-0005-0000-0000-000014030000}"/>
    <cellStyle name="Normal 11 2 28 2" xfId="771" xr:uid="{00000000-0005-0000-0000-000015030000}"/>
    <cellStyle name="Normal 11 2 29" xfId="772" xr:uid="{00000000-0005-0000-0000-000016030000}"/>
    <cellStyle name="Normal 11 2 29 2" xfId="773" xr:uid="{00000000-0005-0000-0000-000017030000}"/>
    <cellStyle name="Normal 11 2 3" xfId="774" xr:uid="{00000000-0005-0000-0000-000018030000}"/>
    <cellStyle name="Normal 11 2 3 2" xfId="775" xr:uid="{00000000-0005-0000-0000-000019030000}"/>
    <cellStyle name="Normal 11 2 30" xfId="776" xr:uid="{00000000-0005-0000-0000-00001A030000}"/>
    <cellStyle name="Normal 11 2 30 2" xfId="777" xr:uid="{00000000-0005-0000-0000-00001B030000}"/>
    <cellStyle name="Normal 11 2 31" xfId="778" xr:uid="{00000000-0005-0000-0000-00001C030000}"/>
    <cellStyle name="Normal 11 2 31 2" xfId="779" xr:uid="{00000000-0005-0000-0000-00001D030000}"/>
    <cellStyle name="Normal 11 2 32" xfId="780" xr:uid="{00000000-0005-0000-0000-00001E030000}"/>
    <cellStyle name="Normal 11 2 32 2" xfId="781" xr:uid="{00000000-0005-0000-0000-00001F030000}"/>
    <cellStyle name="Normal 11 2 33" xfId="782" xr:uid="{00000000-0005-0000-0000-000020030000}"/>
    <cellStyle name="Normal 11 2 33 2" xfId="783" xr:uid="{00000000-0005-0000-0000-000021030000}"/>
    <cellStyle name="Normal 11 2 34" xfId="784" xr:uid="{00000000-0005-0000-0000-000022030000}"/>
    <cellStyle name="Normal 11 2 34 2" xfId="785" xr:uid="{00000000-0005-0000-0000-000023030000}"/>
    <cellStyle name="Normal 11 2 35" xfId="786" xr:uid="{00000000-0005-0000-0000-000024030000}"/>
    <cellStyle name="Normal 11 2 35 2" xfId="787" xr:uid="{00000000-0005-0000-0000-000025030000}"/>
    <cellStyle name="Normal 11 2 36" xfId="788" xr:uid="{00000000-0005-0000-0000-000026030000}"/>
    <cellStyle name="Normal 11 2 36 2" xfId="789" xr:uid="{00000000-0005-0000-0000-000027030000}"/>
    <cellStyle name="Normal 11 2 37" xfId="790" xr:uid="{00000000-0005-0000-0000-000028030000}"/>
    <cellStyle name="Normal 11 2 37 2" xfId="791" xr:uid="{00000000-0005-0000-0000-000029030000}"/>
    <cellStyle name="Normal 11 2 38" xfId="792" xr:uid="{00000000-0005-0000-0000-00002A030000}"/>
    <cellStyle name="Normal 11 2 38 2" xfId="793" xr:uid="{00000000-0005-0000-0000-00002B030000}"/>
    <cellStyle name="Normal 11 2 39" xfId="794" xr:uid="{00000000-0005-0000-0000-00002C030000}"/>
    <cellStyle name="Normal 11 2 39 2" xfId="795" xr:uid="{00000000-0005-0000-0000-00002D030000}"/>
    <cellStyle name="Normal 11 2 4" xfId="796" xr:uid="{00000000-0005-0000-0000-00002E030000}"/>
    <cellStyle name="Normal 11 2 4 2" xfId="797" xr:uid="{00000000-0005-0000-0000-00002F030000}"/>
    <cellStyle name="Normal 11 2 40" xfId="798" xr:uid="{00000000-0005-0000-0000-000030030000}"/>
    <cellStyle name="Normal 11 2 5" xfId="799" xr:uid="{00000000-0005-0000-0000-000031030000}"/>
    <cellStyle name="Normal 11 2 5 2" xfId="800" xr:uid="{00000000-0005-0000-0000-000032030000}"/>
    <cellStyle name="Normal 11 2 6" xfId="801" xr:uid="{00000000-0005-0000-0000-000033030000}"/>
    <cellStyle name="Normal 11 2 6 2" xfId="802" xr:uid="{00000000-0005-0000-0000-000034030000}"/>
    <cellStyle name="Normal 11 2 7" xfId="803" xr:uid="{00000000-0005-0000-0000-000035030000}"/>
    <cellStyle name="Normal 11 2 7 2" xfId="804" xr:uid="{00000000-0005-0000-0000-000036030000}"/>
    <cellStyle name="Normal 11 2 8" xfId="805" xr:uid="{00000000-0005-0000-0000-000037030000}"/>
    <cellStyle name="Normal 11 2 8 2" xfId="806" xr:uid="{00000000-0005-0000-0000-000038030000}"/>
    <cellStyle name="Normal 11 2 9" xfId="807" xr:uid="{00000000-0005-0000-0000-000039030000}"/>
    <cellStyle name="Normal 11 2 9 2" xfId="808" xr:uid="{00000000-0005-0000-0000-00003A030000}"/>
    <cellStyle name="Normal 11 2_Configurations FSC" xfId="809" xr:uid="{00000000-0005-0000-0000-00003B030000}"/>
    <cellStyle name="Normal 11 20" xfId="810" xr:uid="{00000000-0005-0000-0000-00003C030000}"/>
    <cellStyle name="Normal 11 20 2" xfId="811" xr:uid="{00000000-0005-0000-0000-00003D030000}"/>
    <cellStyle name="Normal 11 20 2 2" xfId="812" xr:uid="{00000000-0005-0000-0000-00003E030000}"/>
    <cellStyle name="Normal 11 21" xfId="813" xr:uid="{00000000-0005-0000-0000-00003F030000}"/>
    <cellStyle name="Normal 11 21 2" xfId="814" xr:uid="{00000000-0005-0000-0000-000040030000}"/>
    <cellStyle name="Normal 11 21 2 2" xfId="815" xr:uid="{00000000-0005-0000-0000-000041030000}"/>
    <cellStyle name="Normal 11 22" xfId="816" xr:uid="{00000000-0005-0000-0000-000042030000}"/>
    <cellStyle name="Normal 11 22 2" xfId="817" xr:uid="{00000000-0005-0000-0000-000043030000}"/>
    <cellStyle name="Normal 11 22 2 2" xfId="818" xr:uid="{00000000-0005-0000-0000-000044030000}"/>
    <cellStyle name="Normal 11 23" xfId="819" xr:uid="{00000000-0005-0000-0000-000045030000}"/>
    <cellStyle name="Normal 11 23 2" xfId="820" xr:uid="{00000000-0005-0000-0000-000046030000}"/>
    <cellStyle name="Normal 11 23 2 2" xfId="821" xr:uid="{00000000-0005-0000-0000-000047030000}"/>
    <cellStyle name="Normal 11 24" xfId="822" xr:uid="{00000000-0005-0000-0000-000048030000}"/>
    <cellStyle name="Normal 11 24 2" xfId="823" xr:uid="{00000000-0005-0000-0000-000049030000}"/>
    <cellStyle name="Normal 11 24 2 2" xfId="824" xr:uid="{00000000-0005-0000-0000-00004A030000}"/>
    <cellStyle name="Normal 11 25" xfId="825" xr:uid="{00000000-0005-0000-0000-00004B030000}"/>
    <cellStyle name="Normal 11 25 2" xfId="826" xr:uid="{00000000-0005-0000-0000-00004C030000}"/>
    <cellStyle name="Normal 11 25 2 2" xfId="827" xr:uid="{00000000-0005-0000-0000-00004D030000}"/>
    <cellStyle name="Normal 11 26" xfId="828" xr:uid="{00000000-0005-0000-0000-00004E030000}"/>
    <cellStyle name="Normal 11 26 2" xfId="829" xr:uid="{00000000-0005-0000-0000-00004F030000}"/>
    <cellStyle name="Normal 11 26 2 2" xfId="830" xr:uid="{00000000-0005-0000-0000-000050030000}"/>
    <cellStyle name="Normal 11 27" xfId="831" xr:uid="{00000000-0005-0000-0000-000051030000}"/>
    <cellStyle name="Normal 11 27 2" xfId="832" xr:uid="{00000000-0005-0000-0000-000052030000}"/>
    <cellStyle name="Normal 11 27 2 2" xfId="833" xr:uid="{00000000-0005-0000-0000-000053030000}"/>
    <cellStyle name="Normal 11 28" xfId="834" xr:uid="{00000000-0005-0000-0000-000054030000}"/>
    <cellStyle name="Normal 11 28 2" xfId="835" xr:uid="{00000000-0005-0000-0000-000055030000}"/>
    <cellStyle name="Normal 11 28 2 2" xfId="836" xr:uid="{00000000-0005-0000-0000-000056030000}"/>
    <cellStyle name="Normal 11 29" xfId="837" xr:uid="{00000000-0005-0000-0000-000057030000}"/>
    <cellStyle name="Normal 11 29 2" xfId="838" xr:uid="{00000000-0005-0000-0000-000058030000}"/>
    <cellStyle name="Normal 11 29 2 2" xfId="839" xr:uid="{00000000-0005-0000-0000-000059030000}"/>
    <cellStyle name="Normal 11 3" xfId="840" xr:uid="{00000000-0005-0000-0000-00005A030000}"/>
    <cellStyle name="Normal 11 3 10" xfId="841" xr:uid="{00000000-0005-0000-0000-00005B030000}"/>
    <cellStyle name="Normal 11 3 10 2" xfId="842" xr:uid="{00000000-0005-0000-0000-00005C030000}"/>
    <cellStyle name="Normal 11 3 11" xfId="843" xr:uid="{00000000-0005-0000-0000-00005D030000}"/>
    <cellStyle name="Normal 11 3 11 2" xfId="844" xr:uid="{00000000-0005-0000-0000-00005E030000}"/>
    <cellStyle name="Normal 11 3 12" xfId="845" xr:uid="{00000000-0005-0000-0000-00005F030000}"/>
    <cellStyle name="Normal 11 3 12 2" xfId="846" xr:uid="{00000000-0005-0000-0000-000060030000}"/>
    <cellStyle name="Normal 11 3 13" xfId="847" xr:uid="{00000000-0005-0000-0000-000061030000}"/>
    <cellStyle name="Normal 11 3 13 2" xfId="848" xr:uid="{00000000-0005-0000-0000-000062030000}"/>
    <cellStyle name="Normal 11 3 14" xfId="849" xr:uid="{00000000-0005-0000-0000-000063030000}"/>
    <cellStyle name="Normal 11 3 14 2" xfId="850" xr:uid="{00000000-0005-0000-0000-000064030000}"/>
    <cellStyle name="Normal 11 3 15" xfId="851" xr:uid="{00000000-0005-0000-0000-000065030000}"/>
    <cellStyle name="Normal 11 3 15 2" xfId="852" xr:uid="{00000000-0005-0000-0000-000066030000}"/>
    <cellStyle name="Normal 11 3 16" xfId="853" xr:uid="{00000000-0005-0000-0000-000067030000}"/>
    <cellStyle name="Normal 11 3 16 2" xfId="854" xr:uid="{00000000-0005-0000-0000-000068030000}"/>
    <cellStyle name="Normal 11 3 17" xfId="855" xr:uid="{00000000-0005-0000-0000-000069030000}"/>
    <cellStyle name="Normal 11 3 17 2" xfId="856" xr:uid="{00000000-0005-0000-0000-00006A030000}"/>
    <cellStyle name="Normal 11 3 18" xfId="857" xr:uid="{00000000-0005-0000-0000-00006B030000}"/>
    <cellStyle name="Normal 11 3 18 2" xfId="858" xr:uid="{00000000-0005-0000-0000-00006C030000}"/>
    <cellStyle name="Normal 11 3 19" xfId="859" xr:uid="{00000000-0005-0000-0000-00006D030000}"/>
    <cellStyle name="Normal 11 3 19 2" xfId="860" xr:uid="{00000000-0005-0000-0000-00006E030000}"/>
    <cellStyle name="Normal 11 3 2" xfId="861" xr:uid="{00000000-0005-0000-0000-00006F030000}"/>
    <cellStyle name="Normal 11 3 2 2" xfId="862" xr:uid="{00000000-0005-0000-0000-000070030000}"/>
    <cellStyle name="Normal 11 3 20" xfId="863" xr:uid="{00000000-0005-0000-0000-000071030000}"/>
    <cellStyle name="Normal 11 3 20 2" xfId="864" xr:uid="{00000000-0005-0000-0000-000072030000}"/>
    <cellStyle name="Normal 11 3 21" xfId="865" xr:uid="{00000000-0005-0000-0000-000073030000}"/>
    <cellStyle name="Normal 11 3 21 2" xfId="866" xr:uid="{00000000-0005-0000-0000-000074030000}"/>
    <cellStyle name="Normal 11 3 22" xfId="867" xr:uid="{00000000-0005-0000-0000-000075030000}"/>
    <cellStyle name="Normal 11 3 22 2" xfId="868" xr:uid="{00000000-0005-0000-0000-000076030000}"/>
    <cellStyle name="Normal 11 3 23" xfId="869" xr:uid="{00000000-0005-0000-0000-000077030000}"/>
    <cellStyle name="Normal 11 3 23 2" xfId="870" xr:uid="{00000000-0005-0000-0000-000078030000}"/>
    <cellStyle name="Normal 11 3 24" xfId="871" xr:uid="{00000000-0005-0000-0000-000079030000}"/>
    <cellStyle name="Normal 11 3 24 2" xfId="872" xr:uid="{00000000-0005-0000-0000-00007A030000}"/>
    <cellStyle name="Normal 11 3 25" xfId="873" xr:uid="{00000000-0005-0000-0000-00007B030000}"/>
    <cellStyle name="Normal 11 3 25 2" xfId="874" xr:uid="{00000000-0005-0000-0000-00007C030000}"/>
    <cellStyle name="Normal 11 3 26" xfId="875" xr:uid="{00000000-0005-0000-0000-00007D030000}"/>
    <cellStyle name="Normal 11 3 26 2" xfId="876" xr:uid="{00000000-0005-0000-0000-00007E030000}"/>
    <cellStyle name="Normal 11 3 27" xfId="877" xr:uid="{00000000-0005-0000-0000-00007F030000}"/>
    <cellStyle name="Normal 11 3 27 2" xfId="878" xr:uid="{00000000-0005-0000-0000-000080030000}"/>
    <cellStyle name="Normal 11 3 28" xfId="879" xr:uid="{00000000-0005-0000-0000-000081030000}"/>
    <cellStyle name="Normal 11 3 28 2" xfId="880" xr:uid="{00000000-0005-0000-0000-000082030000}"/>
    <cellStyle name="Normal 11 3 29" xfId="881" xr:uid="{00000000-0005-0000-0000-000083030000}"/>
    <cellStyle name="Normal 11 3 29 2" xfId="882" xr:uid="{00000000-0005-0000-0000-000084030000}"/>
    <cellStyle name="Normal 11 3 3" xfId="883" xr:uid="{00000000-0005-0000-0000-000085030000}"/>
    <cellStyle name="Normal 11 3 3 2" xfId="884" xr:uid="{00000000-0005-0000-0000-000086030000}"/>
    <cellStyle name="Normal 11 3 30" xfId="885" xr:uid="{00000000-0005-0000-0000-000087030000}"/>
    <cellStyle name="Normal 11 3 30 2" xfId="886" xr:uid="{00000000-0005-0000-0000-000088030000}"/>
    <cellStyle name="Normal 11 3 31" xfId="887" xr:uid="{00000000-0005-0000-0000-000089030000}"/>
    <cellStyle name="Normal 11 3 31 2" xfId="888" xr:uid="{00000000-0005-0000-0000-00008A030000}"/>
    <cellStyle name="Normal 11 3 32" xfId="889" xr:uid="{00000000-0005-0000-0000-00008B030000}"/>
    <cellStyle name="Normal 11 3 32 2" xfId="890" xr:uid="{00000000-0005-0000-0000-00008C030000}"/>
    <cellStyle name="Normal 11 3 33" xfId="891" xr:uid="{00000000-0005-0000-0000-00008D030000}"/>
    <cellStyle name="Normal 11 3 33 2" xfId="892" xr:uid="{00000000-0005-0000-0000-00008E030000}"/>
    <cellStyle name="Normal 11 3 34" xfId="893" xr:uid="{00000000-0005-0000-0000-00008F030000}"/>
    <cellStyle name="Normal 11 3 34 2" xfId="894" xr:uid="{00000000-0005-0000-0000-000090030000}"/>
    <cellStyle name="Normal 11 3 35" xfId="895" xr:uid="{00000000-0005-0000-0000-000091030000}"/>
    <cellStyle name="Normal 11 3 35 2" xfId="896" xr:uid="{00000000-0005-0000-0000-000092030000}"/>
    <cellStyle name="Normal 11 3 36" xfId="897" xr:uid="{00000000-0005-0000-0000-000093030000}"/>
    <cellStyle name="Normal 11 3 36 2" xfId="898" xr:uid="{00000000-0005-0000-0000-000094030000}"/>
    <cellStyle name="Normal 11 3 37" xfId="899" xr:uid="{00000000-0005-0000-0000-000095030000}"/>
    <cellStyle name="Normal 11 3 37 2" xfId="900" xr:uid="{00000000-0005-0000-0000-000096030000}"/>
    <cellStyle name="Normal 11 3 38" xfId="901" xr:uid="{00000000-0005-0000-0000-000097030000}"/>
    <cellStyle name="Normal 11 3 38 2" xfId="902" xr:uid="{00000000-0005-0000-0000-000098030000}"/>
    <cellStyle name="Normal 11 3 39" xfId="903" xr:uid="{00000000-0005-0000-0000-000099030000}"/>
    <cellStyle name="Normal 11 3 39 2" xfId="904" xr:uid="{00000000-0005-0000-0000-00009A030000}"/>
    <cellStyle name="Normal 11 3 4" xfId="905" xr:uid="{00000000-0005-0000-0000-00009B030000}"/>
    <cellStyle name="Normal 11 3 4 2" xfId="906" xr:uid="{00000000-0005-0000-0000-00009C030000}"/>
    <cellStyle name="Normal 11 3 40" xfId="907" xr:uid="{00000000-0005-0000-0000-00009D030000}"/>
    <cellStyle name="Normal 11 3 5" xfId="908" xr:uid="{00000000-0005-0000-0000-00009E030000}"/>
    <cellStyle name="Normal 11 3 5 2" xfId="909" xr:uid="{00000000-0005-0000-0000-00009F030000}"/>
    <cellStyle name="Normal 11 3 6" xfId="910" xr:uid="{00000000-0005-0000-0000-0000A0030000}"/>
    <cellStyle name="Normal 11 3 6 2" xfId="911" xr:uid="{00000000-0005-0000-0000-0000A1030000}"/>
    <cellStyle name="Normal 11 3 7" xfId="912" xr:uid="{00000000-0005-0000-0000-0000A2030000}"/>
    <cellStyle name="Normal 11 3 7 2" xfId="913" xr:uid="{00000000-0005-0000-0000-0000A3030000}"/>
    <cellStyle name="Normal 11 3 8" xfId="914" xr:uid="{00000000-0005-0000-0000-0000A4030000}"/>
    <cellStyle name="Normal 11 3 8 2" xfId="915" xr:uid="{00000000-0005-0000-0000-0000A5030000}"/>
    <cellStyle name="Normal 11 3 9" xfId="916" xr:uid="{00000000-0005-0000-0000-0000A6030000}"/>
    <cellStyle name="Normal 11 3 9 2" xfId="917" xr:uid="{00000000-0005-0000-0000-0000A7030000}"/>
    <cellStyle name="Normal 11 3_Configurations FSC" xfId="918" xr:uid="{00000000-0005-0000-0000-0000A8030000}"/>
    <cellStyle name="Normal 11 30" xfId="919" xr:uid="{00000000-0005-0000-0000-0000A9030000}"/>
    <cellStyle name="Normal 11 30 2" xfId="920" xr:uid="{00000000-0005-0000-0000-0000AA030000}"/>
    <cellStyle name="Normal 11 30 2 2" xfId="921" xr:uid="{00000000-0005-0000-0000-0000AB030000}"/>
    <cellStyle name="Normal 11 31" xfId="922" xr:uid="{00000000-0005-0000-0000-0000AC030000}"/>
    <cellStyle name="Normal 11 31 2" xfId="923" xr:uid="{00000000-0005-0000-0000-0000AD030000}"/>
    <cellStyle name="Normal 11 31 2 2" xfId="924" xr:uid="{00000000-0005-0000-0000-0000AE030000}"/>
    <cellStyle name="Normal 11 32" xfId="925" xr:uid="{00000000-0005-0000-0000-0000AF030000}"/>
    <cellStyle name="Normal 11 32 2" xfId="926" xr:uid="{00000000-0005-0000-0000-0000B0030000}"/>
    <cellStyle name="Normal 11 32 2 2" xfId="927" xr:uid="{00000000-0005-0000-0000-0000B1030000}"/>
    <cellStyle name="Normal 11 33" xfId="928" xr:uid="{00000000-0005-0000-0000-0000B2030000}"/>
    <cellStyle name="Normal 11 33 2" xfId="929" xr:uid="{00000000-0005-0000-0000-0000B3030000}"/>
    <cellStyle name="Normal 11 33 2 2" xfId="930" xr:uid="{00000000-0005-0000-0000-0000B4030000}"/>
    <cellStyle name="Normal 11 34" xfId="931" xr:uid="{00000000-0005-0000-0000-0000B5030000}"/>
    <cellStyle name="Normal 11 34 2" xfId="932" xr:uid="{00000000-0005-0000-0000-0000B6030000}"/>
    <cellStyle name="Normal 11 34 2 2" xfId="933" xr:uid="{00000000-0005-0000-0000-0000B7030000}"/>
    <cellStyle name="Normal 11 35" xfId="934" xr:uid="{00000000-0005-0000-0000-0000B8030000}"/>
    <cellStyle name="Normal 11 35 2" xfId="935" xr:uid="{00000000-0005-0000-0000-0000B9030000}"/>
    <cellStyle name="Normal 11 35 2 2" xfId="936" xr:uid="{00000000-0005-0000-0000-0000BA030000}"/>
    <cellStyle name="Normal 11 36" xfId="937" xr:uid="{00000000-0005-0000-0000-0000BB030000}"/>
    <cellStyle name="Normal 11 36 2" xfId="938" xr:uid="{00000000-0005-0000-0000-0000BC030000}"/>
    <cellStyle name="Normal 11 36 2 2" xfId="939" xr:uid="{00000000-0005-0000-0000-0000BD030000}"/>
    <cellStyle name="Normal 11 37" xfId="940" xr:uid="{00000000-0005-0000-0000-0000BE030000}"/>
    <cellStyle name="Normal 11 37 2" xfId="941" xr:uid="{00000000-0005-0000-0000-0000BF030000}"/>
    <cellStyle name="Normal 11 37 2 2" xfId="942" xr:uid="{00000000-0005-0000-0000-0000C0030000}"/>
    <cellStyle name="Normal 11 38" xfId="943" xr:uid="{00000000-0005-0000-0000-0000C1030000}"/>
    <cellStyle name="Normal 11 38 2" xfId="944" xr:uid="{00000000-0005-0000-0000-0000C2030000}"/>
    <cellStyle name="Normal 11 38 2 2" xfId="945" xr:uid="{00000000-0005-0000-0000-0000C3030000}"/>
    <cellStyle name="Normal 11 39" xfId="946" xr:uid="{00000000-0005-0000-0000-0000C4030000}"/>
    <cellStyle name="Normal 11 39 2" xfId="947" xr:uid="{00000000-0005-0000-0000-0000C5030000}"/>
    <cellStyle name="Normal 11 39 2 2" xfId="948" xr:uid="{00000000-0005-0000-0000-0000C6030000}"/>
    <cellStyle name="Normal 11 4" xfId="949" xr:uid="{00000000-0005-0000-0000-0000C7030000}"/>
    <cellStyle name="Normal 11 4 10" xfId="950" xr:uid="{00000000-0005-0000-0000-0000C8030000}"/>
    <cellStyle name="Normal 11 4 10 2" xfId="951" xr:uid="{00000000-0005-0000-0000-0000C9030000}"/>
    <cellStyle name="Normal 11 4 11" xfId="952" xr:uid="{00000000-0005-0000-0000-0000CA030000}"/>
    <cellStyle name="Normal 11 4 11 2" xfId="953" xr:uid="{00000000-0005-0000-0000-0000CB030000}"/>
    <cellStyle name="Normal 11 4 12" xfId="954" xr:uid="{00000000-0005-0000-0000-0000CC030000}"/>
    <cellStyle name="Normal 11 4 12 2" xfId="955" xr:uid="{00000000-0005-0000-0000-0000CD030000}"/>
    <cellStyle name="Normal 11 4 13" xfId="956" xr:uid="{00000000-0005-0000-0000-0000CE030000}"/>
    <cellStyle name="Normal 11 4 13 2" xfId="957" xr:uid="{00000000-0005-0000-0000-0000CF030000}"/>
    <cellStyle name="Normal 11 4 14" xfId="958" xr:uid="{00000000-0005-0000-0000-0000D0030000}"/>
    <cellStyle name="Normal 11 4 14 2" xfId="959" xr:uid="{00000000-0005-0000-0000-0000D1030000}"/>
    <cellStyle name="Normal 11 4 15" xfId="960" xr:uid="{00000000-0005-0000-0000-0000D2030000}"/>
    <cellStyle name="Normal 11 4 15 2" xfId="961" xr:uid="{00000000-0005-0000-0000-0000D3030000}"/>
    <cellStyle name="Normal 11 4 16" xfId="962" xr:uid="{00000000-0005-0000-0000-0000D4030000}"/>
    <cellStyle name="Normal 11 4 16 2" xfId="963" xr:uid="{00000000-0005-0000-0000-0000D5030000}"/>
    <cellStyle name="Normal 11 4 17" xfId="964" xr:uid="{00000000-0005-0000-0000-0000D6030000}"/>
    <cellStyle name="Normal 11 4 17 2" xfId="965" xr:uid="{00000000-0005-0000-0000-0000D7030000}"/>
    <cellStyle name="Normal 11 4 18" xfId="966" xr:uid="{00000000-0005-0000-0000-0000D8030000}"/>
    <cellStyle name="Normal 11 4 18 2" xfId="967" xr:uid="{00000000-0005-0000-0000-0000D9030000}"/>
    <cellStyle name="Normal 11 4 19" xfId="968" xr:uid="{00000000-0005-0000-0000-0000DA030000}"/>
    <cellStyle name="Normal 11 4 19 2" xfId="969" xr:uid="{00000000-0005-0000-0000-0000DB030000}"/>
    <cellStyle name="Normal 11 4 2" xfId="970" xr:uid="{00000000-0005-0000-0000-0000DC030000}"/>
    <cellStyle name="Normal 11 4 2 2" xfId="971" xr:uid="{00000000-0005-0000-0000-0000DD030000}"/>
    <cellStyle name="Normal 11 4 20" xfId="972" xr:uid="{00000000-0005-0000-0000-0000DE030000}"/>
    <cellStyle name="Normal 11 4 20 2" xfId="973" xr:uid="{00000000-0005-0000-0000-0000DF030000}"/>
    <cellStyle name="Normal 11 4 21" xfId="974" xr:uid="{00000000-0005-0000-0000-0000E0030000}"/>
    <cellStyle name="Normal 11 4 21 2" xfId="975" xr:uid="{00000000-0005-0000-0000-0000E1030000}"/>
    <cellStyle name="Normal 11 4 22" xfId="976" xr:uid="{00000000-0005-0000-0000-0000E2030000}"/>
    <cellStyle name="Normal 11 4 22 2" xfId="977" xr:uid="{00000000-0005-0000-0000-0000E3030000}"/>
    <cellStyle name="Normal 11 4 23" xfId="978" xr:uid="{00000000-0005-0000-0000-0000E4030000}"/>
    <cellStyle name="Normal 11 4 23 2" xfId="979" xr:uid="{00000000-0005-0000-0000-0000E5030000}"/>
    <cellStyle name="Normal 11 4 24" xfId="980" xr:uid="{00000000-0005-0000-0000-0000E6030000}"/>
    <cellStyle name="Normal 11 4 24 2" xfId="981" xr:uid="{00000000-0005-0000-0000-0000E7030000}"/>
    <cellStyle name="Normal 11 4 25" xfId="982" xr:uid="{00000000-0005-0000-0000-0000E8030000}"/>
    <cellStyle name="Normal 11 4 25 2" xfId="983" xr:uid="{00000000-0005-0000-0000-0000E9030000}"/>
    <cellStyle name="Normal 11 4 26" xfId="984" xr:uid="{00000000-0005-0000-0000-0000EA030000}"/>
    <cellStyle name="Normal 11 4 26 2" xfId="985" xr:uid="{00000000-0005-0000-0000-0000EB030000}"/>
    <cellStyle name="Normal 11 4 27" xfId="986" xr:uid="{00000000-0005-0000-0000-0000EC030000}"/>
    <cellStyle name="Normal 11 4 27 2" xfId="987" xr:uid="{00000000-0005-0000-0000-0000ED030000}"/>
    <cellStyle name="Normal 11 4 28" xfId="988" xr:uid="{00000000-0005-0000-0000-0000EE030000}"/>
    <cellStyle name="Normal 11 4 28 2" xfId="989" xr:uid="{00000000-0005-0000-0000-0000EF030000}"/>
    <cellStyle name="Normal 11 4 29" xfId="990" xr:uid="{00000000-0005-0000-0000-0000F0030000}"/>
    <cellStyle name="Normal 11 4 29 2" xfId="991" xr:uid="{00000000-0005-0000-0000-0000F1030000}"/>
    <cellStyle name="Normal 11 4 3" xfId="992" xr:uid="{00000000-0005-0000-0000-0000F2030000}"/>
    <cellStyle name="Normal 11 4 3 2" xfId="993" xr:uid="{00000000-0005-0000-0000-0000F3030000}"/>
    <cellStyle name="Normal 11 4 30" xfId="994" xr:uid="{00000000-0005-0000-0000-0000F4030000}"/>
    <cellStyle name="Normal 11 4 30 2" xfId="995" xr:uid="{00000000-0005-0000-0000-0000F5030000}"/>
    <cellStyle name="Normal 11 4 31" xfId="996" xr:uid="{00000000-0005-0000-0000-0000F6030000}"/>
    <cellStyle name="Normal 11 4 31 2" xfId="997" xr:uid="{00000000-0005-0000-0000-0000F7030000}"/>
    <cellStyle name="Normal 11 4 32" xfId="998" xr:uid="{00000000-0005-0000-0000-0000F8030000}"/>
    <cellStyle name="Normal 11 4 32 2" xfId="999" xr:uid="{00000000-0005-0000-0000-0000F9030000}"/>
    <cellStyle name="Normal 11 4 33" xfId="1000" xr:uid="{00000000-0005-0000-0000-0000FA030000}"/>
    <cellStyle name="Normal 11 4 33 2" xfId="1001" xr:uid="{00000000-0005-0000-0000-0000FB030000}"/>
    <cellStyle name="Normal 11 4 34" xfId="1002" xr:uid="{00000000-0005-0000-0000-0000FC030000}"/>
    <cellStyle name="Normal 11 4 34 2" xfId="1003" xr:uid="{00000000-0005-0000-0000-0000FD030000}"/>
    <cellStyle name="Normal 11 4 35" xfId="1004" xr:uid="{00000000-0005-0000-0000-0000FE030000}"/>
    <cellStyle name="Normal 11 4 35 2" xfId="1005" xr:uid="{00000000-0005-0000-0000-0000FF030000}"/>
    <cellStyle name="Normal 11 4 36" xfId="1006" xr:uid="{00000000-0005-0000-0000-000000040000}"/>
    <cellStyle name="Normal 11 4 36 2" xfId="1007" xr:uid="{00000000-0005-0000-0000-000001040000}"/>
    <cellStyle name="Normal 11 4 37" xfId="1008" xr:uid="{00000000-0005-0000-0000-000002040000}"/>
    <cellStyle name="Normal 11 4 37 2" xfId="1009" xr:uid="{00000000-0005-0000-0000-000003040000}"/>
    <cellStyle name="Normal 11 4 38" xfId="1010" xr:uid="{00000000-0005-0000-0000-000004040000}"/>
    <cellStyle name="Normal 11 4 38 2" xfId="1011" xr:uid="{00000000-0005-0000-0000-000005040000}"/>
    <cellStyle name="Normal 11 4 39" xfId="1012" xr:uid="{00000000-0005-0000-0000-000006040000}"/>
    <cellStyle name="Normal 11 4 39 2" xfId="1013" xr:uid="{00000000-0005-0000-0000-000007040000}"/>
    <cellStyle name="Normal 11 4 4" xfId="1014" xr:uid="{00000000-0005-0000-0000-000008040000}"/>
    <cellStyle name="Normal 11 4 4 2" xfId="1015" xr:uid="{00000000-0005-0000-0000-000009040000}"/>
    <cellStyle name="Normal 11 4 40" xfId="1016" xr:uid="{00000000-0005-0000-0000-00000A040000}"/>
    <cellStyle name="Normal 11 4 5" xfId="1017" xr:uid="{00000000-0005-0000-0000-00000B040000}"/>
    <cellStyle name="Normal 11 4 5 2" xfId="1018" xr:uid="{00000000-0005-0000-0000-00000C040000}"/>
    <cellStyle name="Normal 11 4 6" xfId="1019" xr:uid="{00000000-0005-0000-0000-00000D040000}"/>
    <cellStyle name="Normal 11 4 6 2" xfId="1020" xr:uid="{00000000-0005-0000-0000-00000E040000}"/>
    <cellStyle name="Normal 11 4 7" xfId="1021" xr:uid="{00000000-0005-0000-0000-00000F040000}"/>
    <cellStyle name="Normal 11 4 7 2" xfId="1022" xr:uid="{00000000-0005-0000-0000-000010040000}"/>
    <cellStyle name="Normal 11 4 8" xfId="1023" xr:uid="{00000000-0005-0000-0000-000011040000}"/>
    <cellStyle name="Normal 11 4 8 2" xfId="1024" xr:uid="{00000000-0005-0000-0000-000012040000}"/>
    <cellStyle name="Normal 11 4 9" xfId="1025" xr:uid="{00000000-0005-0000-0000-000013040000}"/>
    <cellStyle name="Normal 11 4 9 2" xfId="1026" xr:uid="{00000000-0005-0000-0000-000014040000}"/>
    <cellStyle name="Normal 11 4_Configurations FSC" xfId="1027" xr:uid="{00000000-0005-0000-0000-000015040000}"/>
    <cellStyle name="Normal 11 40" xfId="1028" xr:uid="{00000000-0005-0000-0000-000016040000}"/>
    <cellStyle name="Normal 11 40 2" xfId="1029" xr:uid="{00000000-0005-0000-0000-000017040000}"/>
    <cellStyle name="Normal 11 40 2 2" xfId="1030" xr:uid="{00000000-0005-0000-0000-000018040000}"/>
    <cellStyle name="Normal 11 41" xfId="1031" xr:uid="{00000000-0005-0000-0000-000019040000}"/>
    <cellStyle name="Normal 11 41 2" xfId="1032" xr:uid="{00000000-0005-0000-0000-00001A040000}"/>
    <cellStyle name="Normal 11 41 2 2" xfId="1033" xr:uid="{00000000-0005-0000-0000-00001B040000}"/>
    <cellStyle name="Normal 11 42" xfId="1034" xr:uid="{00000000-0005-0000-0000-00001C040000}"/>
    <cellStyle name="Normal 11 42 2" xfId="1035" xr:uid="{00000000-0005-0000-0000-00001D040000}"/>
    <cellStyle name="Normal 11 42 2 2" xfId="1036" xr:uid="{00000000-0005-0000-0000-00001E040000}"/>
    <cellStyle name="Normal 11 43" xfId="1037" xr:uid="{00000000-0005-0000-0000-00001F040000}"/>
    <cellStyle name="Normal 11 43 2" xfId="1038" xr:uid="{00000000-0005-0000-0000-000020040000}"/>
    <cellStyle name="Normal 11 43 2 2" xfId="1039" xr:uid="{00000000-0005-0000-0000-000021040000}"/>
    <cellStyle name="Normal 11 44" xfId="1040" xr:uid="{00000000-0005-0000-0000-000022040000}"/>
    <cellStyle name="Normal 11 44 2" xfId="1041" xr:uid="{00000000-0005-0000-0000-000023040000}"/>
    <cellStyle name="Normal 11 44 2 2" xfId="1042" xr:uid="{00000000-0005-0000-0000-000024040000}"/>
    <cellStyle name="Normal 11 45" xfId="1043" xr:uid="{00000000-0005-0000-0000-000025040000}"/>
    <cellStyle name="Normal 11 45 2" xfId="1044" xr:uid="{00000000-0005-0000-0000-000026040000}"/>
    <cellStyle name="Normal 11 45 2 2" xfId="1045" xr:uid="{00000000-0005-0000-0000-000027040000}"/>
    <cellStyle name="Normal 11 46" xfId="1046" xr:uid="{00000000-0005-0000-0000-000028040000}"/>
    <cellStyle name="Normal 11 46 2" xfId="1047" xr:uid="{00000000-0005-0000-0000-000029040000}"/>
    <cellStyle name="Normal 11 46 2 2" xfId="1048" xr:uid="{00000000-0005-0000-0000-00002A040000}"/>
    <cellStyle name="Normal 11 47" xfId="1049" xr:uid="{00000000-0005-0000-0000-00002B040000}"/>
    <cellStyle name="Normal 11 47 2" xfId="1050" xr:uid="{00000000-0005-0000-0000-00002C040000}"/>
    <cellStyle name="Normal 11 47 2 2" xfId="1051" xr:uid="{00000000-0005-0000-0000-00002D040000}"/>
    <cellStyle name="Normal 11 48" xfId="1052" xr:uid="{00000000-0005-0000-0000-00002E040000}"/>
    <cellStyle name="Normal 11 48 2" xfId="1053" xr:uid="{00000000-0005-0000-0000-00002F040000}"/>
    <cellStyle name="Normal 11 48 2 2" xfId="1054" xr:uid="{00000000-0005-0000-0000-000030040000}"/>
    <cellStyle name="Normal 11 49" xfId="1055" xr:uid="{00000000-0005-0000-0000-000031040000}"/>
    <cellStyle name="Normal 11 49 2" xfId="1056" xr:uid="{00000000-0005-0000-0000-000032040000}"/>
    <cellStyle name="Normal 11 49 2 2" xfId="1057" xr:uid="{00000000-0005-0000-0000-000033040000}"/>
    <cellStyle name="Normal 11 5" xfId="1058" xr:uid="{00000000-0005-0000-0000-000034040000}"/>
    <cellStyle name="Normal 11 5 2" xfId="1059" xr:uid="{00000000-0005-0000-0000-000035040000}"/>
    <cellStyle name="Normal 11 5 2 2" xfId="1060" xr:uid="{00000000-0005-0000-0000-000036040000}"/>
    <cellStyle name="Normal 11 50" xfId="1061" xr:uid="{00000000-0005-0000-0000-000037040000}"/>
    <cellStyle name="Normal 11 50 2" xfId="1062" xr:uid="{00000000-0005-0000-0000-000038040000}"/>
    <cellStyle name="Normal 11 50 2 2" xfId="1063" xr:uid="{00000000-0005-0000-0000-000039040000}"/>
    <cellStyle name="Normal 11 51" xfId="1064" xr:uid="{00000000-0005-0000-0000-00003A040000}"/>
    <cellStyle name="Normal 11 51 2" xfId="1065" xr:uid="{00000000-0005-0000-0000-00003B040000}"/>
    <cellStyle name="Normal 11 51 2 2" xfId="1066" xr:uid="{00000000-0005-0000-0000-00003C040000}"/>
    <cellStyle name="Normal 11 52" xfId="1067" xr:uid="{00000000-0005-0000-0000-00003D040000}"/>
    <cellStyle name="Normal 11 52 2" xfId="1068" xr:uid="{00000000-0005-0000-0000-00003E040000}"/>
    <cellStyle name="Normal 11 52 2 2" xfId="1069" xr:uid="{00000000-0005-0000-0000-00003F040000}"/>
    <cellStyle name="Normal 11 53" xfId="1070" xr:uid="{00000000-0005-0000-0000-000040040000}"/>
    <cellStyle name="Normal 11 53 2" xfId="1071" xr:uid="{00000000-0005-0000-0000-000041040000}"/>
    <cellStyle name="Normal 11 53 2 2" xfId="1072" xr:uid="{00000000-0005-0000-0000-000042040000}"/>
    <cellStyle name="Normal 11 54" xfId="1073" xr:uid="{00000000-0005-0000-0000-000043040000}"/>
    <cellStyle name="Normal 11 54 2" xfId="1074" xr:uid="{00000000-0005-0000-0000-000044040000}"/>
    <cellStyle name="Normal 11 54 2 2" xfId="1075" xr:uid="{00000000-0005-0000-0000-000045040000}"/>
    <cellStyle name="Normal 11 55" xfId="1076" xr:uid="{00000000-0005-0000-0000-000046040000}"/>
    <cellStyle name="Normal 11 55 2" xfId="1077" xr:uid="{00000000-0005-0000-0000-000047040000}"/>
    <cellStyle name="Normal 11 55 2 2" xfId="1078" xr:uid="{00000000-0005-0000-0000-000048040000}"/>
    <cellStyle name="Normal 11 56" xfId="1079" xr:uid="{00000000-0005-0000-0000-000049040000}"/>
    <cellStyle name="Normal 11 56 2" xfId="1080" xr:uid="{00000000-0005-0000-0000-00004A040000}"/>
    <cellStyle name="Normal 11 56 2 2" xfId="1081" xr:uid="{00000000-0005-0000-0000-00004B040000}"/>
    <cellStyle name="Normal 11 57" xfId="1082" xr:uid="{00000000-0005-0000-0000-00004C040000}"/>
    <cellStyle name="Normal 11 57 2" xfId="1083" xr:uid="{00000000-0005-0000-0000-00004D040000}"/>
    <cellStyle name="Normal 11 57 2 2" xfId="1084" xr:uid="{00000000-0005-0000-0000-00004E040000}"/>
    <cellStyle name="Normal 11 58" xfId="1085" xr:uid="{00000000-0005-0000-0000-00004F040000}"/>
    <cellStyle name="Normal 11 58 2" xfId="1086" xr:uid="{00000000-0005-0000-0000-000050040000}"/>
    <cellStyle name="Normal 11 58 2 2" xfId="1087" xr:uid="{00000000-0005-0000-0000-000051040000}"/>
    <cellStyle name="Normal 11 59" xfId="1088" xr:uid="{00000000-0005-0000-0000-000052040000}"/>
    <cellStyle name="Normal 11 59 2" xfId="1089" xr:uid="{00000000-0005-0000-0000-000053040000}"/>
    <cellStyle name="Normal 11 59 2 2" xfId="1090" xr:uid="{00000000-0005-0000-0000-000054040000}"/>
    <cellStyle name="Normal 11 6" xfId="1091" xr:uid="{00000000-0005-0000-0000-000055040000}"/>
    <cellStyle name="Normal 11 6 2" xfId="1092" xr:uid="{00000000-0005-0000-0000-000056040000}"/>
    <cellStyle name="Normal 11 6 2 2" xfId="1093" xr:uid="{00000000-0005-0000-0000-000057040000}"/>
    <cellStyle name="Normal 11 60" xfId="1094" xr:uid="{00000000-0005-0000-0000-000058040000}"/>
    <cellStyle name="Normal 11 60 2" xfId="1095" xr:uid="{00000000-0005-0000-0000-000059040000}"/>
    <cellStyle name="Normal 11 60 2 2" xfId="1096" xr:uid="{00000000-0005-0000-0000-00005A040000}"/>
    <cellStyle name="Normal 11 61" xfId="1097" xr:uid="{00000000-0005-0000-0000-00005B040000}"/>
    <cellStyle name="Normal 11 61 2" xfId="1098" xr:uid="{00000000-0005-0000-0000-00005C040000}"/>
    <cellStyle name="Normal 11 61 2 2" xfId="1099" xr:uid="{00000000-0005-0000-0000-00005D040000}"/>
    <cellStyle name="Normal 11 62" xfId="1100" xr:uid="{00000000-0005-0000-0000-00005E040000}"/>
    <cellStyle name="Normal 11 62 2" xfId="1101" xr:uid="{00000000-0005-0000-0000-00005F040000}"/>
    <cellStyle name="Normal 11 62 2 2" xfId="1102" xr:uid="{00000000-0005-0000-0000-000060040000}"/>
    <cellStyle name="Normal 11 63" xfId="1103" xr:uid="{00000000-0005-0000-0000-000061040000}"/>
    <cellStyle name="Normal 11 63 2" xfId="1104" xr:uid="{00000000-0005-0000-0000-000062040000}"/>
    <cellStyle name="Normal 11 63 2 2" xfId="1105" xr:uid="{00000000-0005-0000-0000-000063040000}"/>
    <cellStyle name="Normal 11 64" xfId="1106" xr:uid="{00000000-0005-0000-0000-000064040000}"/>
    <cellStyle name="Normal 11 64 2" xfId="1107" xr:uid="{00000000-0005-0000-0000-000065040000}"/>
    <cellStyle name="Normal 11 64 2 2" xfId="1108" xr:uid="{00000000-0005-0000-0000-000066040000}"/>
    <cellStyle name="Normal 11 65" xfId="1109" xr:uid="{00000000-0005-0000-0000-000067040000}"/>
    <cellStyle name="Normal 11 65 2" xfId="1110" xr:uid="{00000000-0005-0000-0000-000068040000}"/>
    <cellStyle name="Normal 11 65 2 2" xfId="1111" xr:uid="{00000000-0005-0000-0000-000069040000}"/>
    <cellStyle name="Normal 11 66" xfId="1112" xr:uid="{00000000-0005-0000-0000-00006A040000}"/>
    <cellStyle name="Normal 11 66 2" xfId="1113" xr:uid="{00000000-0005-0000-0000-00006B040000}"/>
    <cellStyle name="Normal 11 66 2 2" xfId="1114" xr:uid="{00000000-0005-0000-0000-00006C040000}"/>
    <cellStyle name="Normal 11 67" xfId="1115" xr:uid="{00000000-0005-0000-0000-00006D040000}"/>
    <cellStyle name="Normal 11 67 2" xfId="1116" xr:uid="{00000000-0005-0000-0000-00006E040000}"/>
    <cellStyle name="Normal 11 67 2 2" xfId="1117" xr:uid="{00000000-0005-0000-0000-00006F040000}"/>
    <cellStyle name="Normal 11 68" xfId="1118" xr:uid="{00000000-0005-0000-0000-000070040000}"/>
    <cellStyle name="Normal 11 68 2" xfId="1119" xr:uid="{00000000-0005-0000-0000-000071040000}"/>
    <cellStyle name="Normal 11 68 2 2" xfId="1120" xr:uid="{00000000-0005-0000-0000-000072040000}"/>
    <cellStyle name="Normal 11 69" xfId="1121" xr:uid="{00000000-0005-0000-0000-000073040000}"/>
    <cellStyle name="Normal 11 69 2" xfId="1122" xr:uid="{00000000-0005-0000-0000-000074040000}"/>
    <cellStyle name="Normal 11 69 2 2" xfId="1123" xr:uid="{00000000-0005-0000-0000-000075040000}"/>
    <cellStyle name="Normal 11 7" xfId="1124" xr:uid="{00000000-0005-0000-0000-000076040000}"/>
    <cellStyle name="Normal 11 7 2" xfId="1125" xr:uid="{00000000-0005-0000-0000-000077040000}"/>
    <cellStyle name="Normal 11 7 2 2" xfId="1126" xr:uid="{00000000-0005-0000-0000-000078040000}"/>
    <cellStyle name="Normal 11 70" xfId="1127" xr:uid="{00000000-0005-0000-0000-000079040000}"/>
    <cellStyle name="Normal 11 70 2" xfId="1128" xr:uid="{00000000-0005-0000-0000-00007A040000}"/>
    <cellStyle name="Normal 11 70 2 2" xfId="1129" xr:uid="{00000000-0005-0000-0000-00007B040000}"/>
    <cellStyle name="Normal 11 71" xfId="1130" xr:uid="{00000000-0005-0000-0000-00007C040000}"/>
    <cellStyle name="Normal 11 71 2" xfId="1131" xr:uid="{00000000-0005-0000-0000-00007D040000}"/>
    <cellStyle name="Normal 11 71 2 2" xfId="1132" xr:uid="{00000000-0005-0000-0000-00007E040000}"/>
    <cellStyle name="Normal 11 72" xfId="1133" xr:uid="{00000000-0005-0000-0000-00007F040000}"/>
    <cellStyle name="Normal 11 72 2" xfId="1134" xr:uid="{00000000-0005-0000-0000-000080040000}"/>
    <cellStyle name="Normal 11 72 2 2" xfId="1135" xr:uid="{00000000-0005-0000-0000-000081040000}"/>
    <cellStyle name="Normal 11 73" xfId="1136" xr:uid="{00000000-0005-0000-0000-000082040000}"/>
    <cellStyle name="Normal 11 73 2" xfId="1137" xr:uid="{00000000-0005-0000-0000-000083040000}"/>
    <cellStyle name="Normal 11 73 2 2" xfId="1138" xr:uid="{00000000-0005-0000-0000-000084040000}"/>
    <cellStyle name="Normal 11 74" xfId="1139" xr:uid="{00000000-0005-0000-0000-000085040000}"/>
    <cellStyle name="Normal 11 74 2" xfId="1140" xr:uid="{00000000-0005-0000-0000-000086040000}"/>
    <cellStyle name="Normal 11 74 2 2" xfId="1141" xr:uid="{00000000-0005-0000-0000-000087040000}"/>
    <cellStyle name="Normal 11 75" xfId="1142" xr:uid="{00000000-0005-0000-0000-000088040000}"/>
    <cellStyle name="Normal 11 75 2" xfId="1143" xr:uid="{00000000-0005-0000-0000-000089040000}"/>
    <cellStyle name="Normal 11 75 2 2" xfId="1144" xr:uid="{00000000-0005-0000-0000-00008A040000}"/>
    <cellStyle name="Normal 11 76" xfId="1145" xr:uid="{00000000-0005-0000-0000-00008B040000}"/>
    <cellStyle name="Normal 11 76 2" xfId="1146" xr:uid="{00000000-0005-0000-0000-00008C040000}"/>
    <cellStyle name="Normal 11 76 2 2" xfId="1147" xr:uid="{00000000-0005-0000-0000-00008D040000}"/>
    <cellStyle name="Normal 11 77" xfId="1148" xr:uid="{00000000-0005-0000-0000-00008E040000}"/>
    <cellStyle name="Normal 11 77 2" xfId="1149" xr:uid="{00000000-0005-0000-0000-00008F040000}"/>
    <cellStyle name="Normal 11 77 2 2" xfId="1150" xr:uid="{00000000-0005-0000-0000-000090040000}"/>
    <cellStyle name="Normal 11 78" xfId="1151" xr:uid="{00000000-0005-0000-0000-000091040000}"/>
    <cellStyle name="Normal 11 78 2" xfId="1152" xr:uid="{00000000-0005-0000-0000-000092040000}"/>
    <cellStyle name="Normal 11 78 2 2" xfId="1153" xr:uid="{00000000-0005-0000-0000-000093040000}"/>
    <cellStyle name="Normal 11 79" xfId="1154" xr:uid="{00000000-0005-0000-0000-000094040000}"/>
    <cellStyle name="Normal 11 79 2" xfId="1155" xr:uid="{00000000-0005-0000-0000-000095040000}"/>
    <cellStyle name="Normal 11 79 2 2" xfId="1156" xr:uid="{00000000-0005-0000-0000-000096040000}"/>
    <cellStyle name="Normal 11 8" xfId="1157" xr:uid="{00000000-0005-0000-0000-000097040000}"/>
    <cellStyle name="Normal 11 8 2" xfId="1158" xr:uid="{00000000-0005-0000-0000-000098040000}"/>
    <cellStyle name="Normal 11 8 2 2" xfId="1159" xr:uid="{00000000-0005-0000-0000-000099040000}"/>
    <cellStyle name="Normal 11 80" xfId="1160" xr:uid="{00000000-0005-0000-0000-00009A040000}"/>
    <cellStyle name="Normal 11 80 2" xfId="1161" xr:uid="{00000000-0005-0000-0000-00009B040000}"/>
    <cellStyle name="Normal 11 80 2 2" xfId="1162" xr:uid="{00000000-0005-0000-0000-00009C040000}"/>
    <cellStyle name="Normal 11 81" xfId="1163" xr:uid="{00000000-0005-0000-0000-00009D040000}"/>
    <cellStyle name="Normal 11 81 2" xfId="1164" xr:uid="{00000000-0005-0000-0000-00009E040000}"/>
    <cellStyle name="Normal 11 81 2 2" xfId="1165" xr:uid="{00000000-0005-0000-0000-00009F040000}"/>
    <cellStyle name="Normal 11 82" xfId="1166" xr:uid="{00000000-0005-0000-0000-0000A0040000}"/>
    <cellStyle name="Normal 11 82 2" xfId="1167" xr:uid="{00000000-0005-0000-0000-0000A1040000}"/>
    <cellStyle name="Normal 11 82 2 2" xfId="1168" xr:uid="{00000000-0005-0000-0000-0000A2040000}"/>
    <cellStyle name="Normal 11 83" xfId="1169" xr:uid="{00000000-0005-0000-0000-0000A3040000}"/>
    <cellStyle name="Normal 11 83 2" xfId="1170" xr:uid="{00000000-0005-0000-0000-0000A4040000}"/>
    <cellStyle name="Normal 11 83 2 2" xfId="1171" xr:uid="{00000000-0005-0000-0000-0000A5040000}"/>
    <cellStyle name="Normal 11 84" xfId="1172" xr:uid="{00000000-0005-0000-0000-0000A6040000}"/>
    <cellStyle name="Normal 11 84 2" xfId="1173" xr:uid="{00000000-0005-0000-0000-0000A7040000}"/>
    <cellStyle name="Normal 11 84 2 2" xfId="1174" xr:uid="{00000000-0005-0000-0000-0000A8040000}"/>
    <cellStyle name="Normal 11 85" xfId="1175" xr:uid="{00000000-0005-0000-0000-0000A9040000}"/>
    <cellStyle name="Normal 11 85 2" xfId="1176" xr:uid="{00000000-0005-0000-0000-0000AA040000}"/>
    <cellStyle name="Normal 11 85 2 2" xfId="1177" xr:uid="{00000000-0005-0000-0000-0000AB040000}"/>
    <cellStyle name="Normal 11 86" xfId="1178" xr:uid="{00000000-0005-0000-0000-0000AC040000}"/>
    <cellStyle name="Normal 11 86 2" xfId="1179" xr:uid="{00000000-0005-0000-0000-0000AD040000}"/>
    <cellStyle name="Normal 11 86 2 2" xfId="1180" xr:uid="{00000000-0005-0000-0000-0000AE040000}"/>
    <cellStyle name="Normal 11 87" xfId="1181" xr:uid="{00000000-0005-0000-0000-0000AF040000}"/>
    <cellStyle name="Normal 11 87 2" xfId="1182" xr:uid="{00000000-0005-0000-0000-0000B0040000}"/>
    <cellStyle name="Normal 11 87 2 2" xfId="1183" xr:uid="{00000000-0005-0000-0000-0000B1040000}"/>
    <cellStyle name="Normal 11 88" xfId="1184" xr:uid="{00000000-0005-0000-0000-0000B2040000}"/>
    <cellStyle name="Normal 11 88 2" xfId="1185" xr:uid="{00000000-0005-0000-0000-0000B3040000}"/>
    <cellStyle name="Normal 11 88 2 2" xfId="1186" xr:uid="{00000000-0005-0000-0000-0000B4040000}"/>
    <cellStyle name="Normal 11 89" xfId="1187" xr:uid="{00000000-0005-0000-0000-0000B5040000}"/>
    <cellStyle name="Normal 11 89 2" xfId="1188" xr:uid="{00000000-0005-0000-0000-0000B6040000}"/>
    <cellStyle name="Normal 11 89 2 2" xfId="1189" xr:uid="{00000000-0005-0000-0000-0000B7040000}"/>
    <cellStyle name="Normal 11 9" xfId="1190" xr:uid="{00000000-0005-0000-0000-0000B8040000}"/>
    <cellStyle name="Normal 11 9 2" xfId="1191" xr:uid="{00000000-0005-0000-0000-0000B9040000}"/>
    <cellStyle name="Normal 11 9 2 2" xfId="1192" xr:uid="{00000000-0005-0000-0000-0000BA040000}"/>
    <cellStyle name="Normal 11 90" xfId="1193" xr:uid="{00000000-0005-0000-0000-0000BB040000}"/>
    <cellStyle name="Normal 11 90 2" xfId="1194" xr:uid="{00000000-0005-0000-0000-0000BC040000}"/>
    <cellStyle name="Normal 11 90 2 2" xfId="1195" xr:uid="{00000000-0005-0000-0000-0000BD040000}"/>
    <cellStyle name="Normal 11 91" xfId="1196" xr:uid="{00000000-0005-0000-0000-0000BE040000}"/>
    <cellStyle name="Normal 11 91 2" xfId="1197" xr:uid="{00000000-0005-0000-0000-0000BF040000}"/>
    <cellStyle name="Normal 11 91 2 2" xfId="1198" xr:uid="{00000000-0005-0000-0000-0000C0040000}"/>
    <cellStyle name="Normal 11 92" xfId="1199" xr:uid="{00000000-0005-0000-0000-0000C1040000}"/>
    <cellStyle name="Normal 11 92 2" xfId="1200" xr:uid="{00000000-0005-0000-0000-0000C2040000}"/>
    <cellStyle name="Normal 11 92 2 2" xfId="1201" xr:uid="{00000000-0005-0000-0000-0000C3040000}"/>
    <cellStyle name="Normal 11 93" xfId="1202" xr:uid="{00000000-0005-0000-0000-0000C4040000}"/>
    <cellStyle name="Normal 11 93 2" xfId="1203" xr:uid="{00000000-0005-0000-0000-0000C5040000}"/>
    <cellStyle name="Normal 11 93 2 2" xfId="1204" xr:uid="{00000000-0005-0000-0000-0000C6040000}"/>
    <cellStyle name="Normal 11 94" xfId="1205" xr:uid="{00000000-0005-0000-0000-0000C7040000}"/>
    <cellStyle name="Normal 11 94 2" xfId="1206" xr:uid="{00000000-0005-0000-0000-0000C8040000}"/>
    <cellStyle name="Normal 11 94 2 2" xfId="1207" xr:uid="{00000000-0005-0000-0000-0000C9040000}"/>
    <cellStyle name="Normal 11 95" xfId="1208" xr:uid="{00000000-0005-0000-0000-0000CA040000}"/>
    <cellStyle name="Normal 11 95 2" xfId="1209" xr:uid="{00000000-0005-0000-0000-0000CB040000}"/>
    <cellStyle name="Normal 11 95 2 2" xfId="1210" xr:uid="{00000000-0005-0000-0000-0000CC040000}"/>
    <cellStyle name="Normal 11 96" xfId="1211" xr:uid="{00000000-0005-0000-0000-0000CD040000}"/>
    <cellStyle name="Normal 11 96 2" xfId="1212" xr:uid="{00000000-0005-0000-0000-0000CE040000}"/>
    <cellStyle name="Normal 11 96 2 2" xfId="1213" xr:uid="{00000000-0005-0000-0000-0000CF040000}"/>
    <cellStyle name="Normal 11 97" xfId="1214" xr:uid="{00000000-0005-0000-0000-0000D0040000}"/>
    <cellStyle name="Normal 11 97 2" xfId="1215" xr:uid="{00000000-0005-0000-0000-0000D1040000}"/>
    <cellStyle name="Normal 11 97 2 2" xfId="1216" xr:uid="{00000000-0005-0000-0000-0000D2040000}"/>
    <cellStyle name="Normal 11 98" xfId="1217" xr:uid="{00000000-0005-0000-0000-0000D3040000}"/>
    <cellStyle name="Normal 11 98 2" xfId="1218" xr:uid="{00000000-0005-0000-0000-0000D4040000}"/>
    <cellStyle name="Normal 11 98 2 2" xfId="1219" xr:uid="{00000000-0005-0000-0000-0000D5040000}"/>
    <cellStyle name="Normal 11 99" xfId="1220" xr:uid="{00000000-0005-0000-0000-0000D6040000}"/>
    <cellStyle name="Normal 11 99 2" xfId="1221" xr:uid="{00000000-0005-0000-0000-0000D7040000}"/>
    <cellStyle name="Normal 11 99 2 2" xfId="1222" xr:uid="{00000000-0005-0000-0000-0000D8040000}"/>
    <cellStyle name="Normal 11_Configurations FSC" xfId="1223" xr:uid="{00000000-0005-0000-0000-0000D9040000}"/>
    <cellStyle name="Normal 110" xfId="1224" xr:uid="{00000000-0005-0000-0000-0000DA040000}"/>
    <cellStyle name="Normal 110 2" xfId="1225" xr:uid="{00000000-0005-0000-0000-0000DB040000}"/>
    <cellStyle name="Normal 110 2 2" xfId="1226" xr:uid="{00000000-0005-0000-0000-0000DC040000}"/>
    <cellStyle name="Normal 111" xfId="1227" xr:uid="{00000000-0005-0000-0000-0000DD040000}"/>
    <cellStyle name="Normal 111 2" xfId="1228" xr:uid="{00000000-0005-0000-0000-0000DE040000}"/>
    <cellStyle name="Normal 111 2 2" xfId="1229" xr:uid="{00000000-0005-0000-0000-0000DF040000}"/>
    <cellStyle name="Normal 112" xfId="1230" xr:uid="{00000000-0005-0000-0000-0000E0040000}"/>
    <cellStyle name="Normal 112 2" xfId="1231" xr:uid="{00000000-0005-0000-0000-0000E1040000}"/>
    <cellStyle name="Normal 112 2 2" xfId="1232" xr:uid="{00000000-0005-0000-0000-0000E2040000}"/>
    <cellStyle name="Normal 113" xfId="1233" xr:uid="{00000000-0005-0000-0000-0000E3040000}"/>
    <cellStyle name="Normal 113 2" xfId="1234" xr:uid="{00000000-0005-0000-0000-0000E4040000}"/>
    <cellStyle name="Normal 113 2 2" xfId="1235" xr:uid="{00000000-0005-0000-0000-0000E5040000}"/>
    <cellStyle name="Normal 114" xfId="1236" xr:uid="{00000000-0005-0000-0000-0000E6040000}"/>
    <cellStyle name="Normal 114 2" xfId="1237" xr:uid="{00000000-0005-0000-0000-0000E7040000}"/>
    <cellStyle name="Normal 114 2 2" xfId="1238" xr:uid="{00000000-0005-0000-0000-0000E8040000}"/>
    <cellStyle name="Normal 115" xfId="1239" xr:uid="{00000000-0005-0000-0000-0000E9040000}"/>
    <cellStyle name="Normal 115 2" xfId="1240" xr:uid="{00000000-0005-0000-0000-0000EA040000}"/>
    <cellStyle name="Normal 115 2 2" xfId="1241" xr:uid="{00000000-0005-0000-0000-0000EB040000}"/>
    <cellStyle name="Normal 116" xfId="1242" xr:uid="{00000000-0005-0000-0000-0000EC040000}"/>
    <cellStyle name="Normal 116 2" xfId="1243" xr:uid="{00000000-0005-0000-0000-0000ED040000}"/>
    <cellStyle name="Normal 116 2 2" xfId="1244" xr:uid="{00000000-0005-0000-0000-0000EE040000}"/>
    <cellStyle name="Normal 117" xfId="1245" xr:uid="{00000000-0005-0000-0000-0000EF040000}"/>
    <cellStyle name="Normal 117 2" xfId="1246" xr:uid="{00000000-0005-0000-0000-0000F0040000}"/>
    <cellStyle name="Normal 117 2 2" xfId="1247" xr:uid="{00000000-0005-0000-0000-0000F1040000}"/>
    <cellStyle name="Normal 118" xfId="1248" xr:uid="{00000000-0005-0000-0000-0000F2040000}"/>
    <cellStyle name="Normal 118 2" xfId="1249" xr:uid="{00000000-0005-0000-0000-0000F3040000}"/>
    <cellStyle name="Normal 118 2 2" xfId="1250" xr:uid="{00000000-0005-0000-0000-0000F4040000}"/>
    <cellStyle name="Normal 119" xfId="1251" xr:uid="{00000000-0005-0000-0000-0000F5040000}"/>
    <cellStyle name="Normal 119 2" xfId="1252" xr:uid="{00000000-0005-0000-0000-0000F6040000}"/>
    <cellStyle name="Normal 119 2 2" xfId="1253" xr:uid="{00000000-0005-0000-0000-0000F7040000}"/>
    <cellStyle name="Normal 12" xfId="1254" xr:uid="{00000000-0005-0000-0000-0000F8040000}"/>
    <cellStyle name="Normal 12 10" xfId="1255" xr:uid="{00000000-0005-0000-0000-0000F9040000}"/>
    <cellStyle name="Normal 12 10 2" xfId="1256" xr:uid="{00000000-0005-0000-0000-0000FA040000}"/>
    <cellStyle name="Normal 12 11" xfId="1257" xr:uid="{00000000-0005-0000-0000-0000FB040000}"/>
    <cellStyle name="Normal 12 11 2" xfId="1258" xr:uid="{00000000-0005-0000-0000-0000FC040000}"/>
    <cellStyle name="Normal 12 12" xfId="1259" xr:uid="{00000000-0005-0000-0000-0000FD040000}"/>
    <cellStyle name="Normal 12 12 2" xfId="1260" xr:uid="{00000000-0005-0000-0000-0000FE040000}"/>
    <cellStyle name="Normal 12 13" xfId="1261" xr:uid="{00000000-0005-0000-0000-0000FF040000}"/>
    <cellStyle name="Normal 12 13 2" xfId="1262" xr:uid="{00000000-0005-0000-0000-000000050000}"/>
    <cellStyle name="Normal 12 14" xfId="1263" xr:uid="{00000000-0005-0000-0000-000001050000}"/>
    <cellStyle name="Normal 12 14 2" xfId="1264" xr:uid="{00000000-0005-0000-0000-000002050000}"/>
    <cellStyle name="Normal 12 15" xfId="1265" xr:uid="{00000000-0005-0000-0000-000003050000}"/>
    <cellStyle name="Normal 12 15 2" xfId="1266" xr:uid="{00000000-0005-0000-0000-000004050000}"/>
    <cellStyle name="Normal 12 16" xfId="1267" xr:uid="{00000000-0005-0000-0000-000005050000}"/>
    <cellStyle name="Normal 12 16 2" xfId="1268" xr:uid="{00000000-0005-0000-0000-000006050000}"/>
    <cellStyle name="Normal 12 17" xfId="1269" xr:uid="{00000000-0005-0000-0000-000007050000}"/>
    <cellStyle name="Normal 12 17 2" xfId="1270" xr:uid="{00000000-0005-0000-0000-000008050000}"/>
    <cellStyle name="Normal 12 18" xfId="1271" xr:uid="{00000000-0005-0000-0000-000009050000}"/>
    <cellStyle name="Normal 12 18 2" xfId="1272" xr:uid="{00000000-0005-0000-0000-00000A050000}"/>
    <cellStyle name="Normal 12 19" xfId="1273" xr:uid="{00000000-0005-0000-0000-00000B050000}"/>
    <cellStyle name="Normal 12 19 2" xfId="1274" xr:uid="{00000000-0005-0000-0000-00000C050000}"/>
    <cellStyle name="Normal 12 2" xfId="1275" xr:uid="{00000000-0005-0000-0000-00000D050000}"/>
    <cellStyle name="Normal 12 2 2" xfId="1276" xr:uid="{00000000-0005-0000-0000-00000E050000}"/>
    <cellStyle name="Normal 12 20" xfId="1277" xr:uid="{00000000-0005-0000-0000-00000F050000}"/>
    <cellStyle name="Normal 12 20 2" xfId="1278" xr:uid="{00000000-0005-0000-0000-000010050000}"/>
    <cellStyle name="Normal 12 21" xfId="1279" xr:uid="{00000000-0005-0000-0000-000011050000}"/>
    <cellStyle name="Normal 12 21 2" xfId="1280" xr:uid="{00000000-0005-0000-0000-000012050000}"/>
    <cellStyle name="Normal 12 22" xfId="1281" xr:uid="{00000000-0005-0000-0000-000013050000}"/>
    <cellStyle name="Normal 12 22 2" xfId="1282" xr:uid="{00000000-0005-0000-0000-000014050000}"/>
    <cellStyle name="Normal 12 23" xfId="1283" xr:uid="{00000000-0005-0000-0000-000015050000}"/>
    <cellStyle name="Normal 12 23 2" xfId="1284" xr:uid="{00000000-0005-0000-0000-000016050000}"/>
    <cellStyle name="Normal 12 24" xfId="1285" xr:uid="{00000000-0005-0000-0000-000017050000}"/>
    <cellStyle name="Normal 12 24 2" xfId="1286" xr:uid="{00000000-0005-0000-0000-000018050000}"/>
    <cellStyle name="Normal 12 25" xfId="1287" xr:uid="{00000000-0005-0000-0000-000019050000}"/>
    <cellStyle name="Normal 12 25 2" xfId="1288" xr:uid="{00000000-0005-0000-0000-00001A050000}"/>
    <cellStyle name="Normal 12 26" xfId="1289" xr:uid="{00000000-0005-0000-0000-00001B050000}"/>
    <cellStyle name="Normal 12 26 2" xfId="1290" xr:uid="{00000000-0005-0000-0000-00001C050000}"/>
    <cellStyle name="Normal 12 27" xfId="1291" xr:uid="{00000000-0005-0000-0000-00001D050000}"/>
    <cellStyle name="Normal 12 27 2" xfId="1292" xr:uid="{00000000-0005-0000-0000-00001E050000}"/>
    <cellStyle name="Normal 12 28" xfId="1293" xr:uid="{00000000-0005-0000-0000-00001F050000}"/>
    <cellStyle name="Normal 12 28 2" xfId="1294" xr:uid="{00000000-0005-0000-0000-000020050000}"/>
    <cellStyle name="Normal 12 29" xfId="1295" xr:uid="{00000000-0005-0000-0000-000021050000}"/>
    <cellStyle name="Normal 12 29 2" xfId="1296" xr:uid="{00000000-0005-0000-0000-000022050000}"/>
    <cellStyle name="Normal 12 3" xfId="1297" xr:uid="{00000000-0005-0000-0000-000023050000}"/>
    <cellStyle name="Normal 12 3 2" xfId="1298" xr:uid="{00000000-0005-0000-0000-000024050000}"/>
    <cellStyle name="Normal 12 30" xfId="1299" xr:uid="{00000000-0005-0000-0000-000025050000}"/>
    <cellStyle name="Normal 12 30 2" xfId="1300" xr:uid="{00000000-0005-0000-0000-000026050000}"/>
    <cellStyle name="Normal 12 31" xfId="1301" xr:uid="{00000000-0005-0000-0000-000027050000}"/>
    <cellStyle name="Normal 12 31 2" xfId="1302" xr:uid="{00000000-0005-0000-0000-000028050000}"/>
    <cellStyle name="Normal 12 32" xfId="1303" xr:uid="{00000000-0005-0000-0000-000029050000}"/>
    <cellStyle name="Normal 12 32 2" xfId="1304" xr:uid="{00000000-0005-0000-0000-00002A050000}"/>
    <cellStyle name="Normal 12 33" xfId="1305" xr:uid="{00000000-0005-0000-0000-00002B050000}"/>
    <cellStyle name="Normal 12 33 2" xfId="1306" xr:uid="{00000000-0005-0000-0000-00002C050000}"/>
    <cellStyle name="Normal 12 34" xfId="1307" xr:uid="{00000000-0005-0000-0000-00002D050000}"/>
    <cellStyle name="Normal 12 34 2" xfId="1308" xr:uid="{00000000-0005-0000-0000-00002E050000}"/>
    <cellStyle name="Normal 12 35" xfId="1309" xr:uid="{00000000-0005-0000-0000-00002F050000}"/>
    <cellStyle name="Normal 12 35 2" xfId="1310" xr:uid="{00000000-0005-0000-0000-000030050000}"/>
    <cellStyle name="Normal 12 36" xfId="1311" xr:uid="{00000000-0005-0000-0000-000031050000}"/>
    <cellStyle name="Normal 12 36 2" xfId="1312" xr:uid="{00000000-0005-0000-0000-000032050000}"/>
    <cellStyle name="Normal 12 37" xfId="1313" xr:uid="{00000000-0005-0000-0000-000033050000}"/>
    <cellStyle name="Normal 12 37 2" xfId="1314" xr:uid="{00000000-0005-0000-0000-000034050000}"/>
    <cellStyle name="Normal 12 38" xfId="1315" xr:uid="{00000000-0005-0000-0000-000035050000}"/>
    <cellStyle name="Normal 12 38 2" xfId="1316" xr:uid="{00000000-0005-0000-0000-000036050000}"/>
    <cellStyle name="Normal 12 39" xfId="1317" xr:uid="{00000000-0005-0000-0000-000037050000}"/>
    <cellStyle name="Normal 12 39 2" xfId="1318" xr:uid="{00000000-0005-0000-0000-000038050000}"/>
    <cellStyle name="Normal 12 4" xfId="1319" xr:uid="{00000000-0005-0000-0000-000039050000}"/>
    <cellStyle name="Normal 12 4 2" xfId="1320" xr:uid="{00000000-0005-0000-0000-00003A050000}"/>
    <cellStyle name="Normal 12 40" xfId="1321" xr:uid="{00000000-0005-0000-0000-00003B050000}"/>
    <cellStyle name="Normal 12 40 2" xfId="1322" xr:uid="{00000000-0005-0000-0000-00003C050000}"/>
    <cellStyle name="Normal 12 41" xfId="1323" xr:uid="{00000000-0005-0000-0000-00003D050000}"/>
    <cellStyle name="Normal 12 41 2" xfId="1324" xr:uid="{00000000-0005-0000-0000-00003E050000}"/>
    <cellStyle name="Normal 12 42" xfId="1325" xr:uid="{00000000-0005-0000-0000-00003F050000}"/>
    <cellStyle name="Normal 12 5" xfId="1326" xr:uid="{00000000-0005-0000-0000-000040050000}"/>
    <cellStyle name="Normal 12 5 2" xfId="1327" xr:uid="{00000000-0005-0000-0000-000041050000}"/>
    <cellStyle name="Normal 12 6" xfId="1328" xr:uid="{00000000-0005-0000-0000-000042050000}"/>
    <cellStyle name="Normal 12 6 2" xfId="1329" xr:uid="{00000000-0005-0000-0000-000043050000}"/>
    <cellStyle name="Normal 12 7" xfId="1330" xr:uid="{00000000-0005-0000-0000-000044050000}"/>
    <cellStyle name="Normal 12 7 2" xfId="1331" xr:uid="{00000000-0005-0000-0000-000045050000}"/>
    <cellStyle name="Normal 12 8" xfId="1332" xr:uid="{00000000-0005-0000-0000-000046050000}"/>
    <cellStyle name="Normal 12 8 2" xfId="1333" xr:uid="{00000000-0005-0000-0000-000047050000}"/>
    <cellStyle name="Normal 12 9" xfId="1334" xr:uid="{00000000-0005-0000-0000-000048050000}"/>
    <cellStyle name="Normal 12 9 2" xfId="1335" xr:uid="{00000000-0005-0000-0000-000049050000}"/>
    <cellStyle name="Normal 12_- - # IBM Response to Atos x86 eBidding_2011.11.25_mod.Hackl" xfId="1336" xr:uid="{00000000-0005-0000-0000-00004A050000}"/>
    <cellStyle name="Normal 120" xfId="1337" xr:uid="{00000000-0005-0000-0000-00004B050000}"/>
    <cellStyle name="Normal 120 2" xfId="1338" xr:uid="{00000000-0005-0000-0000-00004C050000}"/>
    <cellStyle name="Normal 120 2 2" xfId="1339" xr:uid="{00000000-0005-0000-0000-00004D050000}"/>
    <cellStyle name="Normal 121" xfId="1340" xr:uid="{00000000-0005-0000-0000-00004E050000}"/>
    <cellStyle name="Normal 121 2" xfId="1341" xr:uid="{00000000-0005-0000-0000-00004F050000}"/>
    <cellStyle name="Normal 121 2 2" xfId="1342" xr:uid="{00000000-0005-0000-0000-000050050000}"/>
    <cellStyle name="Normal 122" xfId="1343" xr:uid="{00000000-0005-0000-0000-000051050000}"/>
    <cellStyle name="Normal 122 2" xfId="1344" xr:uid="{00000000-0005-0000-0000-000052050000}"/>
    <cellStyle name="Normal 122 2 2" xfId="1345" xr:uid="{00000000-0005-0000-0000-000053050000}"/>
    <cellStyle name="Normal 123" xfId="1346" xr:uid="{00000000-0005-0000-0000-000054050000}"/>
    <cellStyle name="Normal 123 2" xfId="1347" xr:uid="{00000000-0005-0000-0000-000055050000}"/>
    <cellStyle name="Normal 123 2 2" xfId="1348" xr:uid="{00000000-0005-0000-0000-000056050000}"/>
    <cellStyle name="Normal 124" xfId="1349" xr:uid="{00000000-0005-0000-0000-000057050000}"/>
    <cellStyle name="Normal 124 2" xfId="1350" xr:uid="{00000000-0005-0000-0000-000058050000}"/>
    <cellStyle name="Normal 124 2 2" xfId="1351" xr:uid="{00000000-0005-0000-0000-000059050000}"/>
    <cellStyle name="Normal 125" xfId="1352" xr:uid="{00000000-0005-0000-0000-00005A050000}"/>
    <cellStyle name="Normal 125 2" xfId="1353" xr:uid="{00000000-0005-0000-0000-00005B050000}"/>
    <cellStyle name="Normal 125 2 2" xfId="1354" xr:uid="{00000000-0005-0000-0000-00005C050000}"/>
    <cellStyle name="Normal 126" xfId="1355" xr:uid="{00000000-0005-0000-0000-00005D050000}"/>
    <cellStyle name="Normal 126 2" xfId="1356" xr:uid="{00000000-0005-0000-0000-00005E050000}"/>
    <cellStyle name="Normal 126 2 2" xfId="1357" xr:uid="{00000000-0005-0000-0000-00005F050000}"/>
    <cellStyle name="Normal 127" xfId="1358" xr:uid="{00000000-0005-0000-0000-000060050000}"/>
    <cellStyle name="Normal 127 2" xfId="1359" xr:uid="{00000000-0005-0000-0000-000061050000}"/>
    <cellStyle name="Normal 127 2 2" xfId="1360" xr:uid="{00000000-0005-0000-0000-000062050000}"/>
    <cellStyle name="Normal 128" xfId="1361" xr:uid="{00000000-0005-0000-0000-000063050000}"/>
    <cellStyle name="Normal 128 2" xfId="1362" xr:uid="{00000000-0005-0000-0000-000064050000}"/>
    <cellStyle name="Normal 128 2 2" xfId="1363" xr:uid="{00000000-0005-0000-0000-000065050000}"/>
    <cellStyle name="Normal 129" xfId="1364" xr:uid="{00000000-0005-0000-0000-000066050000}"/>
    <cellStyle name="Normal 129 2" xfId="1365" xr:uid="{00000000-0005-0000-0000-000067050000}"/>
    <cellStyle name="Normal 129 2 2" xfId="1366" xr:uid="{00000000-0005-0000-0000-000068050000}"/>
    <cellStyle name="Normal 13" xfId="1367" xr:uid="{00000000-0005-0000-0000-000069050000}"/>
    <cellStyle name="Normal 13 10" xfId="1368" xr:uid="{00000000-0005-0000-0000-00006A050000}"/>
    <cellStyle name="Normal 13 10 2" xfId="1369" xr:uid="{00000000-0005-0000-0000-00006B050000}"/>
    <cellStyle name="Normal 13 11" xfId="1370" xr:uid="{00000000-0005-0000-0000-00006C050000}"/>
    <cellStyle name="Normal 13 11 2" xfId="1371" xr:uid="{00000000-0005-0000-0000-00006D050000}"/>
    <cellStyle name="Normal 13 12" xfId="1372" xr:uid="{00000000-0005-0000-0000-00006E050000}"/>
    <cellStyle name="Normal 13 12 2" xfId="1373" xr:uid="{00000000-0005-0000-0000-00006F050000}"/>
    <cellStyle name="Normal 13 13" xfId="1374" xr:uid="{00000000-0005-0000-0000-000070050000}"/>
    <cellStyle name="Normal 13 13 2" xfId="1375" xr:uid="{00000000-0005-0000-0000-000071050000}"/>
    <cellStyle name="Normal 13 14" xfId="1376" xr:uid="{00000000-0005-0000-0000-000072050000}"/>
    <cellStyle name="Normal 13 14 2" xfId="1377" xr:uid="{00000000-0005-0000-0000-000073050000}"/>
    <cellStyle name="Normal 13 15" xfId="1378" xr:uid="{00000000-0005-0000-0000-000074050000}"/>
    <cellStyle name="Normal 13 15 2" xfId="1379" xr:uid="{00000000-0005-0000-0000-000075050000}"/>
    <cellStyle name="Normal 13 16" xfId="1380" xr:uid="{00000000-0005-0000-0000-000076050000}"/>
    <cellStyle name="Normal 13 16 2" xfId="1381" xr:uid="{00000000-0005-0000-0000-000077050000}"/>
    <cellStyle name="Normal 13 17" xfId="1382" xr:uid="{00000000-0005-0000-0000-000078050000}"/>
    <cellStyle name="Normal 13 17 2" xfId="1383" xr:uid="{00000000-0005-0000-0000-000079050000}"/>
    <cellStyle name="Normal 13 18" xfId="1384" xr:uid="{00000000-0005-0000-0000-00007A050000}"/>
    <cellStyle name="Normal 13 18 2" xfId="1385" xr:uid="{00000000-0005-0000-0000-00007B050000}"/>
    <cellStyle name="Normal 13 19" xfId="1386" xr:uid="{00000000-0005-0000-0000-00007C050000}"/>
    <cellStyle name="Normal 13 19 2" xfId="1387" xr:uid="{00000000-0005-0000-0000-00007D050000}"/>
    <cellStyle name="Normal 13 2" xfId="1388" xr:uid="{00000000-0005-0000-0000-00007E050000}"/>
    <cellStyle name="Normal 13 2 2" xfId="1389" xr:uid="{00000000-0005-0000-0000-00007F050000}"/>
    <cellStyle name="Normal 13 20" xfId="1390" xr:uid="{00000000-0005-0000-0000-000080050000}"/>
    <cellStyle name="Normal 13 20 2" xfId="1391" xr:uid="{00000000-0005-0000-0000-000081050000}"/>
    <cellStyle name="Normal 13 21" xfId="1392" xr:uid="{00000000-0005-0000-0000-000082050000}"/>
    <cellStyle name="Normal 13 21 2" xfId="1393" xr:uid="{00000000-0005-0000-0000-000083050000}"/>
    <cellStyle name="Normal 13 22" xfId="1394" xr:uid="{00000000-0005-0000-0000-000084050000}"/>
    <cellStyle name="Normal 13 22 2" xfId="1395" xr:uid="{00000000-0005-0000-0000-000085050000}"/>
    <cellStyle name="Normal 13 23" xfId="1396" xr:uid="{00000000-0005-0000-0000-000086050000}"/>
    <cellStyle name="Normal 13 23 2" xfId="1397" xr:uid="{00000000-0005-0000-0000-000087050000}"/>
    <cellStyle name="Normal 13 24" xfId="1398" xr:uid="{00000000-0005-0000-0000-000088050000}"/>
    <cellStyle name="Normal 13 24 2" xfId="1399" xr:uid="{00000000-0005-0000-0000-000089050000}"/>
    <cellStyle name="Normal 13 25" xfId="1400" xr:uid="{00000000-0005-0000-0000-00008A050000}"/>
    <cellStyle name="Normal 13 25 2" xfId="1401" xr:uid="{00000000-0005-0000-0000-00008B050000}"/>
    <cellStyle name="Normal 13 26" xfId="1402" xr:uid="{00000000-0005-0000-0000-00008C050000}"/>
    <cellStyle name="Normal 13 26 2" xfId="1403" xr:uid="{00000000-0005-0000-0000-00008D050000}"/>
    <cellStyle name="Normal 13 27" xfId="1404" xr:uid="{00000000-0005-0000-0000-00008E050000}"/>
    <cellStyle name="Normal 13 27 2" xfId="1405" xr:uid="{00000000-0005-0000-0000-00008F050000}"/>
    <cellStyle name="Normal 13 28" xfId="1406" xr:uid="{00000000-0005-0000-0000-000090050000}"/>
    <cellStyle name="Normal 13 28 2" xfId="1407" xr:uid="{00000000-0005-0000-0000-000091050000}"/>
    <cellStyle name="Normal 13 29" xfId="1408" xr:uid="{00000000-0005-0000-0000-000092050000}"/>
    <cellStyle name="Normal 13 29 2" xfId="1409" xr:uid="{00000000-0005-0000-0000-000093050000}"/>
    <cellStyle name="Normal 13 3" xfId="1410" xr:uid="{00000000-0005-0000-0000-000094050000}"/>
    <cellStyle name="Normal 13 3 2" xfId="1411" xr:uid="{00000000-0005-0000-0000-000095050000}"/>
    <cellStyle name="Normal 13 30" xfId="1412" xr:uid="{00000000-0005-0000-0000-000096050000}"/>
    <cellStyle name="Normal 13 30 2" xfId="1413" xr:uid="{00000000-0005-0000-0000-000097050000}"/>
    <cellStyle name="Normal 13 31" xfId="1414" xr:uid="{00000000-0005-0000-0000-000098050000}"/>
    <cellStyle name="Normal 13 31 2" xfId="1415" xr:uid="{00000000-0005-0000-0000-000099050000}"/>
    <cellStyle name="Normal 13 32" xfId="1416" xr:uid="{00000000-0005-0000-0000-00009A050000}"/>
    <cellStyle name="Normal 13 32 2" xfId="1417" xr:uid="{00000000-0005-0000-0000-00009B050000}"/>
    <cellStyle name="Normal 13 33" xfId="1418" xr:uid="{00000000-0005-0000-0000-00009C050000}"/>
    <cellStyle name="Normal 13 33 2" xfId="1419" xr:uid="{00000000-0005-0000-0000-00009D050000}"/>
    <cellStyle name="Normal 13 34" xfId="1420" xr:uid="{00000000-0005-0000-0000-00009E050000}"/>
    <cellStyle name="Normal 13 34 2" xfId="1421" xr:uid="{00000000-0005-0000-0000-00009F050000}"/>
    <cellStyle name="Normal 13 35" xfId="1422" xr:uid="{00000000-0005-0000-0000-0000A0050000}"/>
    <cellStyle name="Normal 13 35 2" xfId="1423" xr:uid="{00000000-0005-0000-0000-0000A1050000}"/>
    <cellStyle name="Normal 13 36" xfId="1424" xr:uid="{00000000-0005-0000-0000-0000A2050000}"/>
    <cellStyle name="Normal 13 36 2" xfId="1425" xr:uid="{00000000-0005-0000-0000-0000A3050000}"/>
    <cellStyle name="Normal 13 37" xfId="1426" xr:uid="{00000000-0005-0000-0000-0000A4050000}"/>
    <cellStyle name="Normal 13 37 2" xfId="1427" xr:uid="{00000000-0005-0000-0000-0000A5050000}"/>
    <cellStyle name="Normal 13 38" xfId="1428" xr:uid="{00000000-0005-0000-0000-0000A6050000}"/>
    <cellStyle name="Normal 13 38 2" xfId="1429" xr:uid="{00000000-0005-0000-0000-0000A7050000}"/>
    <cellStyle name="Normal 13 39" xfId="1430" xr:uid="{00000000-0005-0000-0000-0000A8050000}"/>
    <cellStyle name="Normal 13 39 2" xfId="1431" xr:uid="{00000000-0005-0000-0000-0000A9050000}"/>
    <cellStyle name="Normal 13 4" xfId="1432" xr:uid="{00000000-0005-0000-0000-0000AA050000}"/>
    <cellStyle name="Normal 13 4 2" xfId="1433" xr:uid="{00000000-0005-0000-0000-0000AB050000}"/>
    <cellStyle name="Normal 13 40" xfId="1434" xr:uid="{00000000-0005-0000-0000-0000AC050000}"/>
    <cellStyle name="Normal 13 40 2" xfId="1435" xr:uid="{00000000-0005-0000-0000-0000AD050000}"/>
    <cellStyle name="Normal 13 41" xfId="1436" xr:uid="{00000000-0005-0000-0000-0000AE050000}"/>
    <cellStyle name="Normal 13 41 2" xfId="1437" xr:uid="{00000000-0005-0000-0000-0000AF050000}"/>
    <cellStyle name="Normal 13 5" xfId="1438" xr:uid="{00000000-0005-0000-0000-0000B0050000}"/>
    <cellStyle name="Normal 13 5 2" xfId="1439" xr:uid="{00000000-0005-0000-0000-0000B1050000}"/>
    <cellStyle name="Normal 13 6" xfId="1440" xr:uid="{00000000-0005-0000-0000-0000B2050000}"/>
    <cellStyle name="Normal 13 6 2" xfId="1441" xr:uid="{00000000-0005-0000-0000-0000B3050000}"/>
    <cellStyle name="Normal 13 7" xfId="1442" xr:uid="{00000000-0005-0000-0000-0000B4050000}"/>
    <cellStyle name="Normal 13 7 2" xfId="1443" xr:uid="{00000000-0005-0000-0000-0000B5050000}"/>
    <cellStyle name="Normal 13 8" xfId="1444" xr:uid="{00000000-0005-0000-0000-0000B6050000}"/>
    <cellStyle name="Normal 13 8 2" xfId="1445" xr:uid="{00000000-0005-0000-0000-0000B7050000}"/>
    <cellStyle name="Normal 13 9" xfId="1446" xr:uid="{00000000-0005-0000-0000-0000B8050000}"/>
    <cellStyle name="Normal 13 9 2" xfId="1447" xr:uid="{00000000-0005-0000-0000-0000B9050000}"/>
    <cellStyle name="Normal 13_Configurations FSC" xfId="1448" xr:uid="{00000000-0005-0000-0000-0000BA050000}"/>
    <cellStyle name="Normal 130" xfId="1449" xr:uid="{00000000-0005-0000-0000-0000BB050000}"/>
    <cellStyle name="Normal 130 2" xfId="1450" xr:uid="{00000000-0005-0000-0000-0000BC050000}"/>
    <cellStyle name="Normal 130 2 2" xfId="1451" xr:uid="{00000000-0005-0000-0000-0000BD050000}"/>
    <cellStyle name="Normal 131" xfId="1452" xr:uid="{00000000-0005-0000-0000-0000BE050000}"/>
    <cellStyle name="Normal 131 2" xfId="1453" xr:uid="{00000000-0005-0000-0000-0000BF050000}"/>
    <cellStyle name="Normal 131 2 2" xfId="1454" xr:uid="{00000000-0005-0000-0000-0000C0050000}"/>
    <cellStyle name="Normal 132" xfId="1455" xr:uid="{00000000-0005-0000-0000-0000C1050000}"/>
    <cellStyle name="Normal 132 2" xfId="1456" xr:uid="{00000000-0005-0000-0000-0000C2050000}"/>
    <cellStyle name="Normal 132 2 2" xfId="1457" xr:uid="{00000000-0005-0000-0000-0000C3050000}"/>
    <cellStyle name="Normal 133" xfId="1458" xr:uid="{00000000-0005-0000-0000-0000C4050000}"/>
    <cellStyle name="Normal 133 2" xfId="1459" xr:uid="{00000000-0005-0000-0000-0000C5050000}"/>
    <cellStyle name="Normal 133 2 2" xfId="1460" xr:uid="{00000000-0005-0000-0000-0000C6050000}"/>
    <cellStyle name="Normal 134" xfId="1461" xr:uid="{00000000-0005-0000-0000-0000C7050000}"/>
    <cellStyle name="Normal 134 2" xfId="1462" xr:uid="{00000000-0005-0000-0000-0000C8050000}"/>
    <cellStyle name="Normal 134 2 2" xfId="1463" xr:uid="{00000000-0005-0000-0000-0000C9050000}"/>
    <cellStyle name="Normal 135" xfId="1464" xr:uid="{00000000-0005-0000-0000-0000CA050000}"/>
    <cellStyle name="Normal 135 2" xfId="1465" xr:uid="{00000000-0005-0000-0000-0000CB050000}"/>
    <cellStyle name="Normal 135 2 2" xfId="1466" xr:uid="{00000000-0005-0000-0000-0000CC050000}"/>
    <cellStyle name="Normal 136" xfId="1467" xr:uid="{00000000-0005-0000-0000-0000CD050000}"/>
    <cellStyle name="Normal 136 2" xfId="1468" xr:uid="{00000000-0005-0000-0000-0000CE050000}"/>
    <cellStyle name="Normal 136 2 2" xfId="1469" xr:uid="{00000000-0005-0000-0000-0000CF050000}"/>
    <cellStyle name="Normal 137" xfId="1470" xr:uid="{00000000-0005-0000-0000-0000D0050000}"/>
    <cellStyle name="Normal 137 2" xfId="1471" xr:uid="{00000000-0005-0000-0000-0000D1050000}"/>
    <cellStyle name="Normal 137 2 2" xfId="1472" xr:uid="{00000000-0005-0000-0000-0000D2050000}"/>
    <cellStyle name="Normal 138" xfId="1473" xr:uid="{00000000-0005-0000-0000-0000D3050000}"/>
    <cellStyle name="Normal 138 2" xfId="1474" xr:uid="{00000000-0005-0000-0000-0000D4050000}"/>
    <cellStyle name="Normal 138 2 2" xfId="1475" xr:uid="{00000000-0005-0000-0000-0000D5050000}"/>
    <cellStyle name="Normal 139" xfId="1476" xr:uid="{00000000-0005-0000-0000-0000D6050000}"/>
    <cellStyle name="Normal 139 2" xfId="1477" xr:uid="{00000000-0005-0000-0000-0000D7050000}"/>
    <cellStyle name="Normal 139 2 2" xfId="1478" xr:uid="{00000000-0005-0000-0000-0000D8050000}"/>
    <cellStyle name="Normal 14" xfId="1479" xr:uid="{00000000-0005-0000-0000-0000D9050000}"/>
    <cellStyle name="Normal 14 10" xfId="1480" xr:uid="{00000000-0005-0000-0000-0000DA050000}"/>
    <cellStyle name="Normal 14 10 2" xfId="1481" xr:uid="{00000000-0005-0000-0000-0000DB050000}"/>
    <cellStyle name="Normal 14 11" xfId="1482" xr:uid="{00000000-0005-0000-0000-0000DC050000}"/>
    <cellStyle name="Normal 14 11 2" xfId="1483" xr:uid="{00000000-0005-0000-0000-0000DD050000}"/>
    <cellStyle name="Normal 14 12" xfId="1484" xr:uid="{00000000-0005-0000-0000-0000DE050000}"/>
    <cellStyle name="Normal 14 12 2" xfId="1485" xr:uid="{00000000-0005-0000-0000-0000DF050000}"/>
    <cellStyle name="Normal 14 13" xfId="1486" xr:uid="{00000000-0005-0000-0000-0000E0050000}"/>
    <cellStyle name="Normal 14 13 2" xfId="1487" xr:uid="{00000000-0005-0000-0000-0000E1050000}"/>
    <cellStyle name="Normal 14 14" xfId="1488" xr:uid="{00000000-0005-0000-0000-0000E2050000}"/>
    <cellStyle name="Normal 14 14 2" xfId="1489" xr:uid="{00000000-0005-0000-0000-0000E3050000}"/>
    <cellStyle name="Normal 14 15" xfId="1490" xr:uid="{00000000-0005-0000-0000-0000E4050000}"/>
    <cellStyle name="Normal 14 15 2" xfId="1491" xr:uid="{00000000-0005-0000-0000-0000E5050000}"/>
    <cellStyle name="Normal 14 16" xfId="1492" xr:uid="{00000000-0005-0000-0000-0000E6050000}"/>
    <cellStyle name="Normal 14 16 2" xfId="1493" xr:uid="{00000000-0005-0000-0000-0000E7050000}"/>
    <cellStyle name="Normal 14 17" xfId="1494" xr:uid="{00000000-0005-0000-0000-0000E8050000}"/>
    <cellStyle name="Normal 14 17 2" xfId="1495" xr:uid="{00000000-0005-0000-0000-0000E9050000}"/>
    <cellStyle name="Normal 14 18" xfId="1496" xr:uid="{00000000-0005-0000-0000-0000EA050000}"/>
    <cellStyle name="Normal 14 18 2" xfId="1497" xr:uid="{00000000-0005-0000-0000-0000EB050000}"/>
    <cellStyle name="Normal 14 19" xfId="1498" xr:uid="{00000000-0005-0000-0000-0000EC050000}"/>
    <cellStyle name="Normal 14 19 2" xfId="1499" xr:uid="{00000000-0005-0000-0000-0000ED050000}"/>
    <cellStyle name="Normal 14 2" xfId="1500" xr:uid="{00000000-0005-0000-0000-0000EE050000}"/>
    <cellStyle name="Normal 14 2 2" xfId="1501" xr:uid="{00000000-0005-0000-0000-0000EF050000}"/>
    <cellStyle name="Normal 14 20" xfId="1502" xr:uid="{00000000-0005-0000-0000-0000F0050000}"/>
    <cellStyle name="Normal 14 20 2" xfId="1503" xr:uid="{00000000-0005-0000-0000-0000F1050000}"/>
    <cellStyle name="Normal 14 21" xfId="1504" xr:uid="{00000000-0005-0000-0000-0000F2050000}"/>
    <cellStyle name="Normal 14 21 2" xfId="1505" xr:uid="{00000000-0005-0000-0000-0000F3050000}"/>
    <cellStyle name="Normal 14 22" xfId="1506" xr:uid="{00000000-0005-0000-0000-0000F4050000}"/>
    <cellStyle name="Normal 14 22 2" xfId="1507" xr:uid="{00000000-0005-0000-0000-0000F5050000}"/>
    <cellStyle name="Normal 14 23" xfId="1508" xr:uid="{00000000-0005-0000-0000-0000F6050000}"/>
    <cellStyle name="Normal 14 23 2" xfId="1509" xr:uid="{00000000-0005-0000-0000-0000F7050000}"/>
    <cellStyle name="Normal 14 24" xfId="1510" xr:uid="{00000000-0005-0000-0000-0000F8050000}"/>
    <cellStyle name="Normal 14 24 2" xfId="1511" xr:uid="{00000000-0005-0000-0000-0000F9050000}"/>
    <cellStyle name="Normal 14 25" xfId="1512" xr:uid="{00000000-0005-0000-0000-0000FA050000}"/>
    <cellStyle name="Normal 14 25 2" xfId="1513" xr:uid="{00000000-0005-0000-0000-0000FB050000}"/>
    <cellStyle name="Normal 14 26" xfId="1514" xr:uid="{00000000-0005-0000-0000-0000FC050000}"/>
    <cellStyle name="Normal 14 26 2" xfId="1515" xr:uid="{00000000-0005-0000-0000-0000FD050000}"/>
    <cellStyle name="Normal 14 27" xfId="1516" xr:uid="{00000000-0005-0000-0000-0000FE050000}"/>
    <cellStyle name="Normal 14 27 2" xfId="1517" xr:uid="{00000000-0005-0000-0000-0000FF050000}"/>
    <cellStyle name="Normal 14 28" xfId="1518" xr:uid="{00000000-0005-0000-0000-000000060000}"/>
    <cellStyle name="Normal 14 28 2" xfId="1519" xr:uid="{00000000-0005-0000-0000-000001060000}"/>
    <cellStyle name="Normal 14 29" xfId="1520" xr:uid="{00000000-0005-0000-0000-000002060000}"/>
    <cellStyle name="Normal 14 29 2" xfId="1521" xr:uid="{00000000-0005-0000-0000-000003060000}"/>
    <cellStyle name="Normal 14 3" xfId="1522" xr:uid="{00000000-0005-0000-0000-000004060000}"/>
    <cellStyle name="Normal 14 3 2" xfId="1523" xr:uid="{00000000-0005-0000-0000-000005060000}"/>
    <cellStyle name="Normal 14 30" xfId="1524" xr:uid="{00000000-0005-0000-0000-000006060000}"/>
    <cellStyle name="Normal 14 30 2" xfId="1525" xr:uid="{00000000-0005-0000-0000-000007060000}"/>
    <cellStyle name="Normal 14 31" xfId="1526" xr:uid="{00000000-0005-0000-0000-000008060000}"/>
    <cellStyle name="Normal 14 31 2" xfId="1527" xr:uid="{00000000-0005-0000-0000-000009060000}"/>
    <cellStyle name="Normal 14 32" xfId="1528" xr:uid="{00000000-0005-0000-0000-00000A060000}"/>
    <cellStyle name="Normal 14 32 2" xfId="1529" xr:uid="{00000000-0005-0000-0000-00000B060000}"/>
    <cellStyle name="Normal 14 33" xfId="1530" xr:uid="{00000000-0005-0000-0000-00000C060000}"/>
    <cellStyle name="Normal 14 33 2" xfId="1531" xr:uid="{00000000-0005-0000-0000-00000D060000}"/>
    <cellStyle name="Normal 14 34" xfId="1532" xr:uid="{00000000-0005-0000-0000-00000E060000}"/>
    <cellStyle name="Normal 14 34 2" xfId="1533" xr:uid="{00000000-0005-0000-0000-00000F060000}"/>
    <cellStyle name="Normal 14 35" xfId="1534" xr:uid="{00000000-0005-0000-0000-000010060000}"/>
    <cellStyle name="Normal 14 35 2" xfId="1535" xr:uid="{00000000-0005-0000-0000-000011060000}"/>
    <cellStyle name="Normal 14 36" xfId="1536" xr:uid="{00000000-0005-0000-0000-000012060000}"/>
    <cellStyle name="Normal 14 36 2" xfId="1537" xr:uid="{00000000-0005-0000-0000-000013060000}"/>
    <cellStyle name="Normal 14 37" xfId="1538" xr:uid="{00000000-0005-0000-0000-000014060000}"/>
    <cellStyle name="Normal 14 37 2" xfId="1539" xr:uid="{00000000-0005-0000-0000-000015060000}"/>
    <cellStyle name="Normal 14 38" xfId="1540" xr:uid="{00000000-0005-0000-0000-000016060000}"/>
    <cellStyle name="Normal 14 38 2" xfId="1541" xr:uid="{00000000-0005-0000-0000-000017060000}"/>
    <cellStyle name="Normal 14 39" xfId="1542" xr:uid="{00000000-0005-0000-0000-000018060000}"/>
    <cellStyle name="Normal 14 39 2" xfId="1543" xr:uid="{00000000-0005-0000-0000-000019060000}"/>
    <cellStyle name="Normal 14 4" xfId="1544" xr:uid="{00000000-0005-0000-0000-00001A060000}"/>
    <cellStyle name="Normal 14 4 2" xfId="1545" xr:uid="{00000000-0005-0000-0000-00001B060000}"/>
    <cellStyle name="Normal 14 40" xfId="1546" xr:uid="{00000000-0005-0000-0000-00001C060000}"/>
    <cellStyle name="Normal 14 40 2" xfId="1547" xr:uid="{00000000-0005-0000-0000-00001D060000}"/>
    <cellStyle name="Normal 14 41" xfId="1548" xr:uid="{00000000-0005-0000-0000-00001E060000}"/>
    <cellStyle name="Normal 14 41 2" xfId="1549" xr:uid="{00000000-0005-0000-0000-00001F060000}"/>
    <cellStyle name="Normal 14 5" xfId="1550" xr:uid="{00000000-0005-0000-0000-000020060000}"/>
    <cellStyle name="Normal 14 5 2" xfId="1551" xr:uid="{00000000-0005-0000-0000-000021060000}"/>
    <cellStyle name="Normal 14 6" xfId="1552" xr:uid="{00000000-0005-0000-0000-000022060000}"/>
    <cellStyle name="Normal 14 6 2" xfId="1553" xr:uid="{00000000-0005-0000-0000-000023060000}"/>
    <cellStyle name="Normal 14 7" xfId="1554" xr:uid="{00000000-0005-0000-0000-000024060000}"/>
    <cellStyle name="Normal 14 7 2" xfId="1555" xr:uid="{00000000-0005-0000-0000-000025060000}"/>
    <cellStyle name="Normal 14 8" xfId="1556" xr:uid="{00000000-0005-0000-0000-000026060000}"/>
    <cellStyle name="Normal 14 8 2" xfId="1557" xr:uid="{00000000-0005-0000-0000-000027060000}"/>
    <cellStyle name="Normal 14 9" xfId="1558" xr:uid="{00000000-0005-0000-0000-000028060000}"/>
    <cellStyle name="Normal 14 9 2" xfId="1559" xr:uid="{00000000-0005-0000-0000-000029060000}"/>
    <cellStyle name="Normal 14_Configurations FSC" xfId="1560" xr:uid="{00000000-0005-0000-0000-00002A060000}"/>
    <cellStyle name="Normal 140" xfId="1561" xr:uid="{00000000-0005-0000-0000-00002B060000}"/>
    <cellStyle name="Normal 140 2" xfId="1562" xr:uid="{00000000-0005-0000-0000-00002C060000}"/>
    <cellStyle name="Normal 140 2 2" xfId="1563" xr:uid="{00000000-0005-0000-0000-00002D060000}"/>
    <cellStyle name="Normal 141" xfId="1564" xr:uid="{00000000-0005-0000-0000-00002E060000}"/>
    <cellStyle name="Normal 141 2" xfId="1565" xr:uid="{00000000-0005-0000-0000-00002F060000}"/>
    <cellStyle name="Normal 141 2 2" xfId="1566" xr:uid="{00000000-0005-0000-0000-000030060000}"/>
    <cellStyle name="Normal 142" xfId="1567" xr:uid="{00000000-0005-0000-0000-000031060000}"/>
    <cellStyle name="Normal 142 2" xfId="1568" xr:uid="{00000000-0005-0000-0000-000032060000}"/>
    <cellStyle name="Normal 142 2 2" xfId="1569" xr:uid="{00000000-0005-0000-0000-000033060000}"/>
    <cellStyle name="Normal 143" xfId="1570" xr:uid="{00000000-0005-0000-0000-000034060000}"/>
    <cellStyle name="Normal 143 2" xfId="1571" xr:uid="{00000000-0005-0000-0000-000035060000}"/>
    <cellStyle name="Normal 143 2 2" xfId="1572" xr:uid="{00000000-0005-0000-0000-000036060000}"/>
    <cellStyle name="Normal 144" xfId="1573" xr:uid="{00000000-0005-0000-0000-000037060000}"/>
    <cellStyle name="Normal 144 2" xfId="1574" xr:uid="{00000000-0005-0000-0000-000038060000}"/>
    <cellStyle name="Normal 144 2 2" xfId="1575" xr:uid="{00000000-0005-0000-0000-000039060000}"/>
    <cellStyle name="Normal 145" xfId="1576" xr:uid="{00000000-0005-0000-0000-00003A060000}"/>
    <cellStyle name="Normal 145 2" xfId="1577" xr:uid="{00000000-0005-0000-0000-00003B060000}"/>
    <cellStyle name="Normal 145 2 2" xfId="1578" xr:uid="{00000000-0005-0000-0000-00003C060000}"/>
    <cellStyle name="Normal 146" xfId="1579" xr:uid="{00000000-0005-0000-0000-00003D060000}"/>
    <cellStyle name="Normal 146 2" xfId="1580" xr:uid="{00000000-0005-0000-0000-00003E060000}"/>
    <cellStyle name="Normal 146 2 2" xfId="1581" xr:uid="{00000000-0005-0000-0000-00003F060000}"/>
    <cellStyle name="Normal 147" xfId="1582" xr:uid="{00000000-0005-0000-0000-000040060000}"/>
    <cellStyle name="Normal 147 2" xfId="1583" xr:uid="{00000000-0005-0000-0000-000041060000}"/>
    <cellStyle name="Normal 147 2 2" xfId="1584" xr:uid="{00000000-0005-0000-0000-000042060000}"/>
    <cellStyle name="Normal 148" xfId="1585" xr:uid="{00000000-0005-0000-0000-000043060000}"/>
    <cellStyle name="Normal 148 2" xfId="1586" xr:uid="{00000000-0005-0000-0000-000044060000}"/>
    <cellStyle name="Normal 148 2 2" xfId="1587" xr:uid="{00000000-0005-0000-0000-000045060000}"/>
    <cellStyle name="Normal 149" xfId="1588" xr:uid="{00000000-0005-0000-0000-000046060000}"/>
    <cellStyle name="Normal 149 2" xfId="1589" xr:uid="{00000000-0005-0000-0000-000047060000}"/>
    <cellStyle name="Normal 149 2 2" xfId="1590" xr:uid="{00000000-0005-0000-0000-000048060000}"/>
    <cellStyle name="Normal 15" xfId="1591" xr:uid="{00000000-0005-0000-0000-000049060000}"/>
    <cellStyle name="Normal 15 10" xfId="1592" xr:uid="{00000000-0005-0000-0000-00004A060000}"/>
    <cellStyle name="Normal 15 10 2" xfId="1593" xr:uid="{00000000-0005-0000-0000-00004B060000}"/>
    <cellStyle name="Normal 15 11" xfId="1594" xr:uid="{00000000-0005-0000-0000-00004C060000}"/>
    <cellStyle name="Normal 15 11 2" xfId="1595" xr:uid="{00000000-0005-0000-0000-00004D060000}"/>
    <cellStyle name="Normal 15 12" xfId="1596" xr:uid="{00000000-0005-0000-0000-00004E060000}"/>
    <cellStyle name="Normal 15 12 2" xfId="1597" xr:uid="{00000000-0005-0000-0000-00004F060000}"/>
    <cellStyle name="Normal 15 13" xfId="1598" xr:uid="{00000000-0005-0000-0000-000050060000}"/>
    <cellStyle name="Normal 15 13 2" xfId="1599" xr:uid="{00000000-0005-0000-0000-000051060000}"/>
    <cellStyle name="Normal 15 14" xfId="1600" xr:uid="{00000000-0005-0000-0000-000052060000}"/>
    <cellStyle name="Normal 15 14 2" xfId="1601" xr:uid="{00000000-0005-0000-0000-000053060000}"/>
    <cellStyle name="Normal 15 15" xfId="1602" xr:uid="{00000000-0005-0000-0000-000054060000}"/>
    <cellStyle name="Normal 15 15 2" xfId="1603" xr:uid="{00000000-0005-0000-0000-000055060000}"/>
    <cellStyle name="Normal 15 16" xfId="1604" xr:uid="{00000000-0005-0000-0000-000056060000}"/>
    <cellStyle name="Normal 15 16 2" xfId="1605" xr:uid="{00000000-0005-0000-0000-000057060000}"/>
    <cellStyle name="Normal 15 17" xfId="1606" xr:uid="{00000000-0005-0000-0000-000058060000}"/>
    <cellStyle name="Normal 15 17 2" xfId="1607" xr:uid="{00000000-0005-0000-0000-000059060000}"/>
    <cellStyle name="Normal 15 18" xfId="1608" xr:uid="{00000000-0005-0000-0000-00005A060000}"/>
    <cellStyle name="Normal 15 18 2" xfId="1609" xr:uid="{00000000-0005-0000-0000-00005B060000}"/>
    <cellStyle name="Normal 15 19" xfId="1610" xr:uid="{00000000-0005-0000-0000-00005C060000}"/>
    <cellStyle name="Normal 15 19 2" xfId="1611" xr:uid="{00000000-0005-0000-0000-00005D060000}"/>
    <cellStyle name="Normal 15 2" xfId="1612" xr:uid="{00000000-0005-0000-0000-00005E060000}"/>
    <cellStyle name="Normal 15 2 2" xfId="1613" xr:uid="{00000000-0005-0000-0000-00005F060000}"/>
    <cellStyle name="Normal 15 20" xfId="1614" xr:uid="{00000000-0005-0000-0000-000060060000}"/>
    <cellStyle name="Normal 15 20 2" xfId="1615" xr:uid="{00000000-0005-0000-0000-000061060000}"/>
    <cellStyle name="Normal 15 21" xfId="1616" xr:uid="{00000000-0005-0000-0000-000062060000}"/>
    <cellStyle name="Normal 15 21 2" xfId="1617" xr:uid="{00000000-0005-0000-0000-000063060000}"/>
    <cellStyle name="Normal 15 22" xfId="1618" xr:uid="{00000000-0005-0000-0000-000064060000}"/>
    <cellStyle name="Normal 15 22 2" xfId="1619" xr:uid="{00000000-0005-0000-0000-000065060000}"/>
    <cellStyle name="Normal 15 23" xfId="1620" xr:uid="{00000000-0005-0000-0000-000066060000}"/>
    <cellStyle name="Normal 15 23 2" xfId="1621" xr:uid="{00000000-0005-0000-0000-000067060000}"/>
    <cellStyle name="Normal 15 24" xfId="1622" xr:uid="{00000000-0005-0000-0000-000068060000}"/>
    <cellStyle name="Normal 15 24 2" xfId="1623" xr:uid="{00000000-0005-0000-0000-000069060000}"/>
    <cellStyle name="Normal 15 25" xfId="1624" xr:uid="{00000000-0005-0000-0000-00006A060000}"/>
    <cellStyle name="Normal 15 25 2" xfId="1625" xr:uid="{00000000-0005-0000-0000-00006B060000}"/>
    <cellStyle name="Normal 15 26" xfId="1626" xr:uid="{00000000-0005-0000-0000-00006C060000}"/>
    <cellStyle name="Normal 15 26 2" xfId="1627" xr:uid="{00000000-0005-0000-0000-00006D060000}"/>
    <cellStyle name="Normal 15 27" xfId="1628" xr:uid="{00000000-0005-0000-0000-00006E060000}"/>
    <cellStyle name="Normal 15 27 2" xfId="1629" xr:uid="{00000000-0005-0000-0000-00006F060000}"/>
    <cellStyle name="Normal 15 28" xfId="1630" xr:uid="{00000000-0005-0000-0000-000070060000}"/>
    <cellStyle name="Normal 15 28 2" xfId="1631" xr:uid="{00000000-0005-0000-0000-000071060000}"/>
    <cellStyle name="Normal 15 29" xfId="1632" xr:uid="{00000000-0005-0000-0000-000072060000}"/>
    <cellStyle name="Normal 15 29 2" xfId="1633" xr:uid="{00000000-0005-0000-0000-000073060000}"/>
    <cellStyle name="Normal 15 3" xfId="1634" xr:uid="{00000000-0005-0000-0000-000074060000}"/>
    <cellStyle name="Normal 15 3 2" xfId="1635" xr:uid="{00000000-0005-0000-0000-000075060000}"/>
    <cellStyle name="Normal 15 30" xfId="1636" xr:uid="{00000000-0005-0000-0000-000076060000}"/>
    <cellStyle name="Normal 15 30 2" xfId="1637" xr:uid="{00000000-0005-0000-0000-000077060000}"/>
    <cellStyle name="Normal 15 31" xfId="1638" xr:uid="{00000000-0005-0000-0000-000078060000}"/>
    <cellStyle name="Normal 15 31 2" xfId="1639" xr:uid="{00000000-0005-0000-0000-000079060000}"/>
    <cellStyle name="Normal 15 32" xfId="1640" xr:uid="{00000000-0005-0000-0000-00007A060000}"/>
    <cellStyle name="Normal 15 32 2" xfId="1641" xr:uid="{00000000-0005-0000-0000-00007B060000}"/>
    <cellStyle name="Normal 15 33" xfId="1642" xr:uid="{00000000-0005-0000-0000-00007C060000}"/>
    <cellStyle name="Normal 15 33 2" xfId="1643" xr:uid="{00000000-0005-0000-0000-00007D060000}"/>
    <cellStyle name="Normal 15 34" xfId="1644" xr:uid="{00000000-0005-0000-0000-00007E060000}"/>
    <cellStyle name="Normal 15 34 2" xfId="1645" xr:uid="{00000000-0005-0000-0000-00007F060000}"/>
    <cellStyle name="Normal 15 35" xfId="1646" xr:uid="{00000000-0005-0000-0000-000080060000}"/>
    <cellStyle name="Normal 15 35 2" xfId="1647" xr:uid="{00000000-0005-0000-0000-000081060000}"/>
    <cellStyle name="Normal 15 36" xfId="1648" xr:uid="{00000000-0005-0000-0000-000082060000}"/>
    <cellStyle name="Normal 15 36 2" xfId="1649" xr:uid="{00000000-0005-0000-0000-000083060000}"/>
    <cellStyle name="Normal 15 37" xfId="1650" xr:uid="{00000000-0005-0000-0000-000084060000}"/>
    <cellStyle name="Normal 15 37 2" xfId="1651" xr:uid="{00000000-0005-0000-0000-000085060000}"/>
    <cellStyle name="Normal 15 38" xfId="1652" xr:uid="{00000000-0005-0000-0000-000086060000}"/>
    <cellStyle name="Normal 15 38 2" xfId="1653" xr:uid="{00000000-0005-0000-0000-000087060000}"/>
    <cellStyle name="Normal 15 39" xfId="1654" xr:uid="{00000000-0005-0000-0000-000088060000}"/>
    <cellStyle name="Normal 15 39 2" xfId="1655" xr:uid="{00000000-0005-0000-0000-000089060000}"/>
    <cellStyle name="Normal 15 4" xfId="1656" xr:uid="{00000000-0005-0000-0000-00008A060000}"/>
    <cellStyle name="Normal 15 4 2" xfId="1657" xr:uid="{00000000-0005-0000-0000-00008B060000}"/>
    <cellStyle name="Normal 15 40" xfId="1658" xr:uid="{00000000-0005-0000-0000-00008C060000}"/>
    <cellStyle name="Normal 15 40 2" xfId="1659" xr:uid="{00000000-0005-0000-0000-00008D060000}"/>
    <cellStyle name="Normal 15 41" xfId="1660" xr:uid="{00000000-0005-0000-0000-00008E060000}"/>
    <cellStyle name="Normal 15 41 2" xfId="1661" xr:uid="{00000000-0005-0000-0000-00008F060000}"/>
    <cellStyle name="Normal 15 5" xfId="1662" xr:uid="{00000000-0005-0000-0000-000090060000}"/>
    <cellStyle name="Normal 15 5 2" xfId="1663" xr:uid="{00000000-0005-0000-0000-000091060000}"/>
    <cellStyle name="Normal 15 6" xfId="1664" xr:uid="{00000000-0005-0000-0000-000092060000}"/>
    <cellStyle name="Normal 15 6 2" xfId="1665" xr:uid="{00000000-0005-0000-0000-000093060000}"/>
    <cellStyle name="Normal 15 7" xfId="1666" xr:uid="{00000000-0005-0000-0000-000094060000}"/>
    <cellStyle name="Normal 15 7 2" xfId="1667" xr:uid="{00000000-0005-0000-0000-000095060000}"/>
    <cellStyle name="Normal 15 8" xfId="1668" xr:uid="{00000000-0005-0000-0000-000096060000}"/>
    <cellStyle name="Normal 15 8 2" xfId="1669" xr:uid="{00000000-0005-0000-0000-000097060000}"/>
    <cellStyle name="Normal 15 9" xfId="1670" xr:uid="{00000000-0005-0000-0000-000098060000}"/>
    <cellStyle name="Normal 15 9 2" xfId="1671" xr:uid="{00000000-0005-0000-0000-000099060000}"/>
    <cellStyle name="Normal 15_Configurations FSC" xfId="1672" xr:uid="{00000000-0005-0000-0000-00009A060000}"/>
    <cellStyle name="Normal 150" xfId="1673" xr:uid="{00000000-0005-0000-0000-00009B060000}"/>
    <cellStyle name="Normal 150 2" xfId="1674" xr:uid="{00000000-0005-0000-0000-00009C060000}"/>
    <cellStyle name="Normal 150 2 2" xfId="1675" xr:uid="{00000000-0005-0000-0000-00009D060000}"/>
    <cellStyle name="Normal 151" xfId="1676" xr:uid="{00000000-0005-0000-0000-00009E060000}"/>
    <cellStyle name="Normal 151 2" xfId="1677" xr:uid="{00000000-0005-0000-0000-00009F060000}"/>
    <cellStyle name="Normal 151 2 2" xfId="1678" xr:uid="{00000000-0005-0000-0000-0000A0060000}"/>
    <cellStyle name="Normal 152" xfId="1679" xr:uid="{00000000-0005-0000-0000-0000A1060000}"/>
    <cellStyle name="Normal 152 2" xfId="1680" xr:uid="{00000000-0005-0000-0000-0000A2060000}"/>
    <cellStyle name="Normal 152 2 2" xfId="1681" xr:uid="{00000000-0005-0000-0000-0000A3060000}"/>
    <cellStyle name="Normal 153" xfId="1682" xr:uid="{00000000-0005-0000-0000-0000A4060000}"/>
    <cellStyle name="Normal 153 2" xfId="1683" xr:uid="{00000000-0005-0000-0000-0000A5060000}"/>
    <cellStyle name="Normal 153 2 2" xfId="1684" xr:uid="{00000000-0005-0000-0000-0000A6060000}"/>
    <cellStyle name="Normal 154" xfId="1685" xr:uid="{00000000-0005-0000-0000-0000A7060000}"/>
    <cellStyle name="Normal 154 2" xfId="1686" xr:uid="{00000000-0005-0000-0000-0000A8060000}"/>
    <cellStyle name="Normal 154 2 2" xfId="1687" xr:uid="{00000000-0005-0000-0000-0000A9060000}"/>
    <cellStyle name="Normal 155" xfId="1688" xr:uid="{00000000-0005-0000-0000-0000AA060000}"/>
    <cellStyle name="Normal 155 2" xfId="1689" xr:uid="{00000000-0005-0000-0000-0000AB060000}"/>
    <cellStyle name="Normal 155 2 2" xfId="1690" xr:uid="{00000000-0005-0000-0000-0000AC060000}"/>
    <cellStyle name="Normal 156" xfId="1691" xr:uid="{00000000-0005-0000-0000-0000AD060000}"/>
    <cellStyle name="Normal 156 2" xfId="1692" xr:uid="{00000000-0005-0000-0000-0000AE060000}"/>
    <cellStyle name="Normal 156 2 2" xfId="1693" xr:uid="{00000000-0005-0000-0000-0000AF060000}"/>
    <cellStyle name="Normal 157" xfId="1694" xr:uid="{00000000-0005-0000-0000-0000B0060000}"/>
    <cellStyle name="Normal 157 2" xfId="1695" xr:uid="{00000000-0005-0000-0000-0000B1060000}"/>
    <cellStyle name="Normal 157 2 2" xfId="1696" xr:uid="{00000000-0005-0000-0000-0000B2060000}"/>
    <cellStyle name="Normal 158" xfId="1697" xr:uid="{00000000-0005-0000-0000-0000B3060000}"/>
    <cellStyle name="Normal 158 2" xfId="1698" xr:uid="{00000000-0005-0000-0000-0000B4060000}"/>
    <cellStyle name="Normal 158 2 2" xfId="1699" xr:uid="{00000000-0005-0000-0000-0000B5060000}"/>
    <cellStyle name="Normal 159" xfId="1700" xr:uid="{00000000-0005-0000-0000-0000B6060000}"/>
    <cellStyle name="Normal 159 2" xfId="1701" xr:uid="{00000000-0005-0000-0000-0000B7060000}"/>
    <cellStyle name="Normal 159 2 2" xfId="1702" xr:uid="{00000000-0005-0000-0000-0000B8060000}"/>
    <cellStyle name="Normal 16" xfId="1703" xr:uid="{00000000-0005-0000-0000-0000B9060000}"/>
    <cellStyle name="Normal 16 10" xfId="1704" xr:uid="{00000000-0005-0000-0000-0000BA060000}"/>
    <cellStyle name="Normal 16 10 2" xfId="1705" xr:uid="{00000000-0005-0000-0000-0000BB060000}"/>
    <cellStyle name="Normal 16 11" xfId="1706" xr:uid="{00000000-0005-0000-0000-0000BC060000}"/>
    <cellStyle name="Normal 16 11 2" xfId="1707" xr:uid="{00000000-0005-0000-0000-0000BD060000}"/>
    <cellStyle name="Normal 16 12" xfId="1708" xr:uid="{00000000-0005-0000-0000-0000BE060000}"/>
    <cellStyle name="Normal 16 12 2" xfId="1709" xr:uid="{00000000-0005-0000-0000-0000BF060000}"/>
    <cellStyle name="Normal 16 13" xfId="1710" xr:uid="{00000000-0005-0000-0000-0000C0060000}"/>
    <cellStyle name="Normal 16 13 2" xfId="1711" xr:uid="{00000000-0005-0000-0000-0000C1060000}"/>
    <cellStyle name="Normal 16 14" xfId="1712" xr:uid="{00000000-0005-0000-0000-0000C2060000}"/>
    <cellStyle name="Normal 16 14 2" xfId="1713" xr:uid="{00000000-0005-0000-0000-0000C3060000}"/>
    <cellStyle name="Normal 16 15" xfId="1714" xr:uid="{00000000-0005-0000-0000-0000C4060000}"/>
    <cellStyle name="Normal 16 15 2" xfId="1715" xr:uid="{00000000-0005-0000-0000-0000C5060000}"/>
    <cellStyle name="Normal 16 16" xfId="1716" xr:uid="{00000000-0005-0000-0000-0000C6060000}"/>
    <cellStyle name="Normal 16 16 2" xfId="1717" xr:uid="{00000000-0005-0000-0000-0000C7060000}"/>
    <cellStyle name="Normal 16 17" xfId="1718" xr:uid="{00000000-0005-0000-0000-0000C8060000}"/>
    <cellStyle name="Normal 16 17 2" xfId="1719" xr:uid="{00000000-0005-0000-0000-0000C9060000}"/>
    <cellStyle name="Normal 16 18" xfId="1720" xr:uid="{00000000-0005-0000-0000-0000CA060000}"/>
    <cellStyle name="Normal 16 18 2" xfId="1721" xr:uid="{00000000-0005-0000-0000-0000CB060000}"/>
    <cellStyle name="Normal 16 19" xfId="1722" xr:uid="{00000000-0005-0000-0000-0000CC060000}"/>
    <cellStyle name="Normal 16 19 2" xfId="1723" xr:uid="{00000000-0005-0000-0000-0000CD060000}"/>
    <cellStyle name="Normal 16 2" xfId="1724" xr:uid="{00000000-0005-0000-0000-0000CE060000}"/>
    <cellStyle name="Normal 16 2 2" xfId="1725" xr:uid="{00000000-0005-0000-0000-0000CF060000}"/>
    <cellStyle name="Normal 16 20" xfId="1726" xr:uid="{00000000-0005-0000-0000-0000D0060000}"/>
    <cellStyle name="Normal 16 20 2" xfId="1727" xr:uid="{00000000-0005-0000-0000-0000D1060000}"/>
    <cellStyle name="Normal 16 21" xfId="1728" xr:uid="{00000000-0005-0000-0000-0000D2060000}"/>
    <cellStyle name="Normal 16 21 2" xfId="1729" xr:uid="{00000000-0005-0000-0000-0000D3060000}"/>
    <cellStyle name="Normal 16 22" xfId="1730" xr:uid="{00000000-0005-0000-0000-0000D4060000}"/>
    <cellStyle name="Normal 16 22 2" xfId="1731" xr:uid="{00000000-0005-0000-0000-0000D5060000}"/>
    <cellStyle name="Normal 16 23" xfId="1732" xr:uid="{00000000-0005-0000-0000-0000D6060000}"/>
    <cellStyle name="Normal 16 23 2" xfId="1733" xr:uid="{00000000-0005-0000-0000-0000D7060000}"/>
    <cellStyle name="Normal 16 24" xfId="1734" xr:uid="{00000000-0005-0000-0000-0000D8060000}"/>
    <cellStyle name="Normal 16 24 2" xfId="1735" xr:uid="{00000000-0005-0000-0000-0000D9060000}"/>
    <cellStyle name="Normal 16 25" xfId="1736" xr:uid="{00000000-0005-0000-0000-0000DA060000}"/>
    <cellStyle name="Normal 16 25 2" xfId="1737" xr:uid="{00000000-0005-0000-0000-0000DB060000}"/>
    <cellStyle name="Normal 16 26" xfId="1738" xr:uid="{00000000-0005-0000-0000-0000DC060000}"/>
    <cellStyle name="Normal 16 26 2" xfId="1739" xr:uid="{00000000-0005-0000-0000-0000DD060000}"/>
    <cellStyle name="Normal 16 27" xfId="1740" xr:uid="{00000000-0005-0000-0000-0000DE060000}"/>
    <cellStyle name="Normal 16 27 2" xfId="1741" xr:uid="{00000000-0005-0000-0000-0000DF060000}"/>
    <cellStyle name="Normal 16 28" xfId="1742" xr:uid="{00000000-0005-0000-0000-0000E0060000}"/>
    <cellStyle name="Normal 16 28 2" xfId="1743" xr:uid="{00000000-0005-0000-0000-0000E1060000}"/>
    <cellStyle name="Normal 16 29" xfId="1744" xr:uid="{00000000-0005-0000-0000-0000E2060000}"/>
    <cellStyle name="Normal 16 29 2" xfId="1745" xr:uid="{00000000-0005-0000-0000-0000E3060000}"/>
    <cellStyle name="Normal 16 3" xfId="1746" xr:uid="{00000000-0005-0000-0000-0000E4060000}"/>
    <cellStyle name="Normal 16 3 2" xfId="1747" xr:uid="{00000000-0005-0000-0000-0000E5060000}"/>
    <cellStyle name="Normal 16 30" xfId="1748" xr:uid="{00000000-0005-0000-0000-0000E6060000}"/>
    <cellStyle name="Normal 16 30 2" xfId="1749" xr:uid="{00000000-0005-0000-0000-0000E7060000}"/>
    <cellStyle name="Normal 16 31" xfId="1750" xr:uid="{00000000-0005-0000-0000-0000E8060000}"/>
    <cellStyle name="Normal 16 31 2" xfId="1751" xr:uid="{00000000-0005-0000-0000-0000E9060000}"/>
    <cellStyle name="Normal 16 32" xfId="1752" xr:uid="{00000000-0005-0000-0000-0000EA060000}"/>
    <cellStyle name="Normal 16 32 2" xfId="1753" xr:uid="{00000000-0005-0000-0000-0000EB060000}"/>
    <cellStyle name="Normal 16 33" xfId="1754" xr:uid="{00000000-0005-0000-0000-0000EC060000}"/>
    <cellStyle name="Normal 16 33 2" xfId="1755" xr:uid="{00000000-0005-0000-0000-0000ED060000}"/>
    <cellStyle name="Normal 16 34" xfId="1756" xr:uid="{00000000-0005-0000-0000-0000EE060000}"/>
    <cellStyle name="Normal 16 34 2" xfId="1757" xr:uid="{00000000-0005-0000-0000-0000EF060000}"/>
    <cellStyle name="Normal 16 35" xfId="1758" xr:uid="{00000000-0005-0000-0000-0000F0060000}"/>
    <cellStyle name="Normal 16 35 2" xfId="1759" xr:uid="{00000000-0005-0000-0000-0000F1060000}"/>
    <cellStyle name="Normal 16 36" xfId="1760" xr:uid="{00000000-0005-0000-0000-0000F2060000}"/>
    <cellStyle name="Normal 16 36 2" xfId="1761" xr:uid="{00000000-0005-0000-0000-0000F3060000}"/>
    <cellStyle name="Normal 16 37" xfId="1762" xr:uid="{00000000-0005-0000-0000-0000F4060000}"/>
    <cellStyle name="Normal 16 37 2" xfId="1763" xr:uid="{00000000-0005-0000-0000-0000F5060000}"/>
    <cellStyle name="Normal 16 38" xfId="1764" xr:uid="{00000000-0005-0000-0000-0000F6060000}"/>
    <cellStyle name="Normal 16 38 2" xfId="1765" xr:uid="{00000000-0005-0000-0000-0000F7060000}"/>
    <cellStyle name="Normal 16 39" xfId="1766" xr:uid="{00000000-0005-0000-0000-0000F8060000}"/>
    <cellStyle name="Normal 16 39 2" xfId="1767" xr:uid="{00000000-0005-0000-0000-0000F9060000}"/>
    <cellStyle name="Normal 16 4" xfId="1768" xr:uid="{00000000-0005-0000-0000-0000FA060000}"/>
    <cellStyle name="Normal 16 4 2" xfId="1769" xr:uid="{00000000-0005-0000-0000-0000FB060000}"/>
    <cellStyle name="Normal 16 40" xfId="1770" xr:uid="{00000000-0005-0000-0000-0000FC060000}"/>
    <cellStyle name="Normal 16 40 2" xfId="1771" xr:uid="{00000000-0005-0000-0000-0000FD060000}"/>
    <cellStyle name="Normal 16 41" xfId="1772" xr:uid="{00000000-0005-0000-0000-0000FE060000}"/>
    <cellStyle name="Normal 16 41 2" xfId="1773" xr:uid="{00000000-0005-0000-0000-0000FF060000}"/>
    <cellStyle name="Normal 16 5" xfId="1774" xr:uid="{00000000-0005-0000-0000-000000070000}"/>
    <cellStyle name="Normal 16 5 2" xfId="1775" xr:uid="{00000000-0005-0000-0000-000001070000}"/>
    <cellStyle name="Normal 16 6" xfId="1776" xr:uid="{00000000-0005-0000-0000-000002070000}"/>
    <cellStyle name="Normal 16 6 2" xfId="1777" xr:uid="{00000000-0005-0000-0000-000003070000}"/>
    <cellStyle name="Normal 16 7" xfId="1778" xr:uid="{00000000-0005-0000-0000-000004070000}"/>
    <cellStyle name="Normal 16 7 2" xfId="1779" xr:uid="{00000000-0005-0000-0000-000005070000}"/>
    <cellStyle name="Normal 16 8" xfId="1780" xr:uid="{00000000-0005-0000-0000-000006070000}"/>
    <cellStyle name="Normal 16 8 2" xfId="1781" xr:uid="{00000000-0005-0000-0000-000007070000}"/>
    <cellStyle name="Normal 16 9" xfId="1782" xr:uid="{00000000-0005-0000-0000-000008070000}"/>
    <cellStyle name="Normal 16 9 2" xfId="1783" xr:uid="{00000000-0005-0000-0000-000009070000}"/>
    <cellStyle name="Normal 16_Configurations FSC" xfId="1784" xr:uid="{00000000-0005-0000-0000-00000A070000}"/>
    <cellStyle name="Normal 160" xfId="1785" xr:uid="{00000000-0005-0000-0000-00000B070000}"/>
    <cellStyle name="Normal 160 2" xfId="1786" xr:uid="{00000000-0005-0000-0000-00000C070000}"/>
    <cellStyle name="Normal 160 2 2" xfId="1787" xr:uid="{00000000-0005-0000-0000-00000D070000}"/>
    <cellStyle name="Normal 161" xfId="1788" xr:uid="{00000000-0005-0000-0000-00000E070000}"/>
    <cellStyle name="Normal 161 2" xfId="1789" xr:uid="{00000000-0005-0000-0000-00000F070000}"/>
    <cellStyle name="Normal 161 2 2" xfId="1790" xr:uid="{00000000-0005-0000-0000-000010070000}"/>
    <cellStyle name="Normal 162" xfId="1791" xr:uid="{00000000-0005-0000-0000-000011070000}"/>
    <cellStyle name="Normal 162 2" xfId="1792" xr:uid="{00000000-0005-0000-0000-000012070000}"/>
    <cellStyle name="Normal 162 2 2" xfId="1793" xr:uid="{00000000-0005-0000-0000-000013070000}"/>
    <cellStyle name="Normal 163" xfId="1794" xr:uid="{00000000-0005-0000-0000-000014070000}"/>
    <cellStyle name="Normal 163 2" xfId="1795" xr:uid="{00000000-0005-0000-0000-000015070000}"/>
    <cellStyle name="Normal 163 2 2" xfId="1796" xr:uid="{00000000-0005-0000-0000-000016070000}"/>
    <cellStyle name="Normal 164" xfId="1797" xr:uid="{00000000-0005-0000-0000-000017070000}"/>
    <cellStyle name="Normal 164 2" xfId="1798" xr:uid="{00000000-0005-0000-0000-000018070000}"/>
    <cellStyle name="Normal 164 2 2" xfId="1799" xr:uid="{00000000-0005-0000-0000-000019070000}"/>
    <cellStyle name="Normal 165" xfId="1800" xr:uid="{00000000-0005-0000-0000-00001A070000}"/>
    <cellStyle name="Normal 165 2" xfId="1801" xr:uid="{00000000-0005-0000-0000-00001B070000}"/>
    <cellStyle name="Normal 165 2 2" xfId="1802" xr:uid="{00000000-0005-0000-0000-00001C070000}"/>
    <cellStyle name="Normal 166" xfId="1803" xr:uid="{00000000-0005-0000-0000-00001D070000}"/>
    <cellStyle name="Normal 166 2" xfId="1804" xr:uid="{00000000-0005-0000-0000-00001E070000}"/>
    <cellStyle name="Normal 166 2 2" xfId="1805" xr:uid="{00000000-0005-0000-0000-00001F070000}"/>
    <cellStyle name="Normal 167" xfId="1806" xr:uid="{00000000-0005-0000-0000-000020070000}"/>
    <cellStyle name="Normal 167 2" xfId="1807" xr:uid="{00000000-0005-0000-0000-000021070000}"/>
    <cellStyle name="Normal 167 2 2" xfId="1808" xr:uid="{00000000-0005-0000-0000-000022070000}"/>
    <cellStyle name="Normal 168" xfId="1809" xr:uid="{00000000-0005-0000-0000-000023070000}"/>
    <cellStyle name="Normal 168 2" xfId="1810" xr:uid="{00000000-0005-0000-0000-000024070000}"/>
    <cellStyle name="Normal 168 2 2" xfId="1811" xr:uid="{00000000-0005-0000-0000-000025070000}"/>
    <cellStyle name="Normal 169" xfId="1812" xr:uid="{00000000-0005-0000-0000-000026070000}"/>
    <cellStyle name="Normal 169 2" xfId="1813" xr:uid="{00000000-0005-0000-0000-000027070000}"/>
    <cellStyle name="Normal 169 2 2" xfId="1814" xr:uid="{00000000-0005-0000-0000-000028070000}"/>
    <cellStyle name="Normal 17" xfId="1815" xr:uid="{00000000-0005-0000-0000-000029070000}"/>
    <cellStyle name="Normal 17 10" xfId="1816" xr:uid="{00000000-0005-0000-0000-00002A070000}"/>
    <cellStyle name="Normal 17 10 2" xfId="1817" xr:uid="{00000000-0005-0000-0000-00002B070000}"/>
    <cellStyle name="Normal 17 11" xfId="1818" xr:uid="{00000000-0005-0000-0000-00002C070000}"/>
    <cellStyle name="Normal 17 11 2" xfId="1819" xr:uid="{00000000-0005-0000-0000-00002D070000}"/>
    <cellStyle name="Normal 17 12" xfId="1820" xr:uid="{00000000-0005-0000-0000-00002E070000}"/>
    <cellStyle name="Normal 17 12 2" xfId="1821" xr:uid="{00000000-0005-0000-0000-00002F070000}"/>
    <cellStyle name="Normal 17 13" xfId="1822" xr:uid="{00000000-0005-0000-0000-000030070000}"/>
    <cellStyle name="Normal 17 13 2" xfId="1823" xr:uid="{00000000-0005-0000-0000-000031070000}"/>
    <cellStyle name="Normal 17 14" xfId="1824" xr:uid="{00000000-0005-0000-0000-000032070000}"/>
    <cellStyle name="Normal 17 14 2" xfId="1825" xr:uid="{00000000-0005-0000-0000-000033070000}"/>
    <cellStyle name="Normal 17 15" xfId="1826" xr:uid="{00000000-0005-0000-0000-000034070000}"/>
    <cellStyle name="Normal 17 15 2" xfId="1827" xr:uid="{00000000-0005-0000-0000-000035070000}"/>
    <cellStyle name="Normal 17 16" xfId="1828" xr:uid="{00000000-0005-0000-0000-000036070000}"/>
    <cellStyle name="Normal 17 16 2" xfId="1829" xr:uid="{00000000-0005-0000-0000-000037070000}"/>
    <cellStyle name="Normal 17 17" xfId="1830" xr:uid="{00000000-0005-0000-0000-000038070000}"/>
    <cellStyle name="Normal 17 17 2" xfId="1831" xr:uid="{00000000-0005-0000-0000-000039070000}"/>
    <cellStyle name="Normal 17 18" xfId="1832" xr:uid="{00000000-0005-0000-0000-00003A070000}"/>
    <cellStyle name="Normal 17 18 2" xfId="1833" xr:uid="{00000000-0005-0000-0000-00003B070000}"/>
    <cellStyle name="Normal 17 19" xfId="1834" xr:uid="{00000000-0005-0000-0000-00003C070000}"/>
    <cellStyle name="Normal 17 19 2" xfId="1835" xr:uid="{00000000-0005-0000-0000-00003D070000}"/>
    <cellStyle name="Normal 17 2" xfId="1836" xr:uid="{00000000-0005-0000-0000-00003E070000}"/>
    <cellStyle name="Normal 17 2 2" xfId="1837" xr:uid="{00000000-0005-0000-0000-00003F070000}"/>
    <cellStyle name="Normal 17 20" xfId="1838" xr:uid="{00000000-0005-0000-0000-000040070000}"/>
    <cellStyle name="Normal 17 20 2" xfId="1839" xr:uid="{00000000-0005-0000-0000-000041070000}"/>
    <cellStyle name="Normal 17 21" xfId="1840" xr:uid="{00000000-0005-0000-0000-000042070000}"/>
    <cellStyle name="Normal 17 21 2" xfId="1841" xr:uid="{00000000-0005-0000-0000-000043070000}"/>
    <cellStyle name="Normal 17 22" xfId="1842" xr:uid="{00000000-0005-0000-0000-000044070000}"/>
    <cellStyle name="Normal 17 22 2" xfId="1843" xr:uid="{00000000-0005-0000-0000-000045070000}"/>
    <cellStyle name="Normal 17 23" xfId="1844" xr:uid="{00000000-0005-0000-0000-000046070000}"/>
    <cellStyle name="Normal 17 23 2" xfId="1845" xr:uid="{00000000-0005-0000-0000-000047070000}"/>
    <cellStyle name="Normal 17 24" xfId="1846" xr:uid="{00000000-0005-0000-0000-000048070000}"/>
    <cellStyle name="Normal 17 24 2" xfId="1847" xr:uid="{00000000-0005-0000-0000-000049070000}"/>
    <cellStyle name="Normal 17 25" xfId="1848" xr:uid="{00000000-0005-0000-0000-00004A070000}"/>
    <cellStyle name="Normal 17 25 2" xfId="1849" xr:uid="{00000000-0005-0000-0000-00004B070000}"/>
    <cellStyle name="Normal 17 26" xfId="1850" xr:uid="{00000000-0005-0000-0000-00004C070000}"/>
    <cellStyle name="Normal 17 26 2" xfId="1851" xr:uid="{00000000-0005-0000-0000-00004D070000}"/>
    <cellStyle name="Normal 17 27" xfId="1852" xr:uid="{00000000-0005-0000-0000-00004E070000}"/>
    <cellStyle name="Normal 17 27 2" xfId="1853" xr:uid="{00000000-0005-0000-0000-00004F070000}"/>
    <cellStyle name="Normal 17 28" xfId="1854" xr:uid="{00000000-0005-0000-0000-000050070000}"/>
    <cellStyle name="Normal 17 28 2" xfId="1855" xr:uid="{00000000-0005-0000-0000-000051070000}"/>
    <cellStyle name="Normal 17 29" xfId="1856" xr:uid="{00000000-0005-0000-0000-000052070000}"/>
    <cellStyle name="Normal 17 29 2" xfId="1857" xr:uid="{00000000-0005-0000-0000-000053070000}"/>
    <cellStyle name="Normal 17 3" xfId="1858" xr:uid="{00000000-0005-0000-0000-000054070000}"/>
    <cellStyle name="Normal 17 3 2" xfId="1859" xr:uid="{00000000-0005-0000-0000-000055070000}"/>
    <cellStyle name="Normal 17 30" xfId="1860" xr:uid="{00000000-0005-0000-0000-000056070000}"/>
    <cellStyle name="Normal 17 30 2" xfId="1861" xr:uid="{00000000-0005-0000-0000-000057070000}"/>
    <cellStyle name="Normal 17 31" xfId="1862" xr:uid="{00000000-0005-0000-0000-000058070000}"/>
    <cellStyle name="Normal 17 31 2" xfId="1863" xr:uid="{00000000-0005-0000-0000-000059070000}"/>
    <cellStyle name="Normal 17 32" xfId="1864" xr:uid="{00000000-0005-0000-0000-00005A070000}"/>
    <cellStyle name="Normal 17 32 2" xfId="1865" xr:uid="{00000000-0005-0000-0000-00005B070000}"/>
    <cellStyle name="Normal 17 33" xfId="1866" xr:uid="{00000000-0005-0000-0000-00005C070000}"/>
    <cellStyle name="Normal 17 33 2" xfId="1867" xr:uid="{00000000-0005-0000-0000-00005D070000}"/>
    <cellStyle name="Normal 17 34" xfId="1868" xr:uid="{00000000-0005-0000-0000-00005E070000}"/>
    <cellStyle name="Normal 17 34 2" xfId="1869" xr:uid="{00000000-0005-0000-0000-00005F070000}"/>
    <cellStyle name="Normal 17 35" xfId="1870" xr:uid="{00000000-0005-0000-0000-000060070000}"/>
    <cellStyle name="Normal 17 35 2" xfId="1871" xr:uid="{00000000-0005-0000-0000-000061070000}"/>
    <cellStyle name="Normal 17 36" xfId="1872" xr:uid="{00000000-0005-0000-0000-000062070000}"/>
    <cellStyle name="Normal 17 36 2" xfId="1873" xr:uid="{00000000-0005-0000-0000-000063070000}"/>
    <cellStyle name="Normal 17 37" xfId="1874" xr:uid="{00000000-0005-0000-0000-000064070000}"/>
    <cellStyle name="Normal 17 37 2" xfId="1875" xr:uid="{00000000-0005-0000-0000-000065070000}"/>
    <cellStyle name="Normal 17 38" xfId="1876" xr:uid="{00000000-0005-0000-0000-000066070000}"/>
    <cellStyle name="Normal 17 38 2" xfId="1877" xr:uid="{00000000-0005-0000-0000-000067070000}"/>
    <cellStyle name="Normal 17 39" xfId="1878" xr:uid="{00000000-0005-0000-0000-000068070000}"/>
    <cellStyle name="Normal 17 39 2" xfId="1879" xr:uid="{00000000-0005-0000-0000-000069070000}"/>
    <cellStyle name="Normal 17 4" xfId="1880" xr:uid="{00000000-0005-0000-0000-00006A070000}"/>
    <cellStyle name="Normal 17 4 2" xfId="1881" xr:uid="{00000000-0005-0000-0000-00006B070000}"/>
    <cellStyle name="Normal 17 40" xfId="1882" xr:uid="{00000000-0005-0000-0000-00006C070000}"/>
    <cellStyle name="Normal 17 40 2" xfId="1883" xr:uid="{00000000-0005-0000-0000-00006D070000}"/>
    <cellStyle name="Normal 17 41" xfId="1884" xr:uid="{00000000-0005-0000-0000-00006E070000}"/>
    <cellStyle name="Normal 17 41 2" xfId="1885" xr:uid="{00000000-0005-0000-0000-00006F070000}"/>
    <cellStyle name="Normal 17 5" xfId="1886" xr:uid="{00000000-0005-0000-0000-000070070000}"/>
    <cellStyle name="Normal 17 5 2" xfId="1887" xr:uid="{00000000-0005-0000-0000-000071070000}"/>
    <cellStyle name="Normal 17 6" xfId="1888" xr:uid="{00000000-0005-0000-0000-000072070000}"/>
    <cellStyle name="Normal 17 6 2" xfId="1889" xr:uid="{00000000-0005-0000-0000-000073070000}"/>
    <cellStyle name="Normal 17 7" xfId="1890" xr:uid="{00000000-0005-0000-0000-000074070000}"/>
    <cellStyle name="Normal 17 7 2" xfId="1891" xr:uid="{00000000-0005-0000-0000-000075070000}"/>
    <cellStyle name="Normal 17 8" xfId="1892" xr:uid="{00000000-0005-0000-0000-000076070000}"/>
    <cellStyle name="Normal 17 8 2" xfId="1893" xr:uid="{00000000-0005-0000-0000-000077070000}"/>
    <cellStyle name="Normal 17 9" xfId="1894" xr:uid="{00000000-0005-0000-0000-000078070000}"/>
    <cellStyle name="Normal 17 9 2" xfId="1895" xr:uid="{00000000-0005-0000-0000-000079070000}"/>
    <cellStyle name="Normal 17_Configurations FSC" xfId="1896" xr:uid="{00000000-0005-0000-0000-00007A070000}"/>
    <cellStyle name="Normal 170" xfId="1897" xr:uid="{00000000-0005-0000-0000-00007B070000}"/>
    <cellStyle name="Normal 170 2" xfId="1898" xr:uid="{00000000-0005-0000-0000-00007C070000}"/>
    <cellStyle name="Normal 170 2 2" xfId="1899" xr:uid="{00000000-0005-0000-0000-00007D070000}"/>
    <cellStyle name="Normal 171" xfId="1900" xr:uid="{00000000-0005-0000-0000-00007E070000}"/>
    <cellStyle name="Normal 171 2" xfId="1901" xr:uid="{00000000-0005-0000-0000-00007F070000}"/>
    <cellStyle name="Normal 171 2 2" xfId="1902" xr:uid="{00000000-0005-0000-0000-000080070000}"/>
    <cellStyle name="Normal 172" xfId="1903" xr:uid="{00000000-0005-0000-0000-000081070000}"/>
    <cellStyle name="Normal 172 2" xfId="1904" xr:uid="{00000000-0005-0000-0000-000082070000}"/>
    <cellStyle name="Normal 172 2 2" xfId="1905" xr:uid="{00000000-0005-0000-0000-000083070000}"/>
    <cellStyle name="Normal 173" xfId="1906" xr:uid="{00000000-0005-0000-0000-000084070000}"/>
    <cellStyle name="Normal 173 2" xfId="1907" xr:uid="{00000000-0005-0000-0000-000085070000}"/>
    <cellStyle name="Normal 173 2 2" xfId="1908" xr:uid="{00000000-0005-0000-0000-000086070000}"/>
    <cellStyle name="Normal 174" xfId="1909" xr:uid="{00000000-0005-0000-0000-000087070000}"/>
    <cellStyle name="Normal 174 2" xfId="1910" xr:uid="{00000000-0005-0000-0000-000088070000}"/>
    <cellStyle name="Normal 174 2 2" xfId="1911" xr:uid="{00000000-0005-0000-0000-000089070000}"/>
    <cellStyle name="Normal 175" xfId="1912" xr:uid="{00000000-0005-0000-0000-00008A070000}"/>
    <cellStyle name="Normal 175 2" xfId="1913" xr:uid="{00000000-0005-0000-0000-00008B070000}"/>
    <cellStyle name="Normal 175 2 2" xfId="1914" xr:uid="{00000000-0005-0000-0000-00008C070000}"/>
    <cellStyle name="Normal 176" xfId="1915" xr:uid="{00000000-0005-0000-0000-00008D070000}"/>
    <cellStyle name="Normal 176 2" xfId="1916" xr:uid="{00000000-0005-0000-0000-00008E070000}"/>
    <cellStyle name="Normal 176 2 2" xfId="1917" xr:uid="{00000000-0005-0000-0000-00008F070000}"/>
    <cellStyle name="Normal 177" xfId="1918" xr:uid="{00000000-0005-0000-0000-000090070000}"/>
    <cellStyle name="Normal 177 2" xfId="1919" xr:uid="{00000000-0005-0000-0000-000091070000}"/>
    <cellStyle name="Normal 177 2 2" xfId="1920" xr:uid="{00000000-0005-0000-0000-000092070000}"/>
    <cellStyle name="Normal 178" xfId="1921" xr:uid="{00000000-0005-0000-0000-000093070000}"/>
    <cellStyle name="Normal 178 2" xfId="1922" xr:uid="{00000000-0005-0000-0000-000094070000}"/>
    <cellStyle name="Normal 178 2 2" xfId="1923" xr:uid="{00000000-0005-0000-0000-000095070000}"/>
    <cellStyle name="Normal 179" xfId="1924" xr:uid="{00000000-0005-0000-0000-000096070000}"/>
    <cellStyle name="Normal 179 2" xfId="1925" xr:uid="{00000000-0005-0000-0000-000097070000}"/>
    <cellStyle name="Normal 179 2 2" xfId="1926" xr:uid="{00000000-0005-0000-0000-000098070000}"/>
    <cellStyle name="Normal 18" xfId="1927" xr:uid="{00000000-0005-0000-0000-000099070000}"/>
    <cellStyle name="Normal 18 10" xfId="1928" xr:uid="{00000000-0005-0000-0000-00009A070000}"/>
    <cellStyle name="Normal 18 10 2" xfId="1929" xr:uid="{00000000-0005-0000-0000-00009B070000}"/>
    <cellStyle name="Normal 18 11" xfId="1930" xr:uid="{00000000-0005-0000-0000-00009C070000}"/>
    <cellStyle name="Normal 18 11 2" xfId="1931" xr:uid="{00000000-0005-0000-0000-00009D070000}"/>
    <cellStyle name="Normal 18 12" xfId="1932" xr:uid="{00000000-0005-0000-0000-00009E070000}"/>
    <cellStyle name="Normal 18 12 2" xfId="1933" xr:uid="{00000000-0005-0000-0000-00009F070000}"/>
    <cellStyle name="Normal 18 13" xfId="1934" xr:uid="{00000000-0005-0000-0000-0000A0070000}"/>
    <cellStyle name="Normal 18 13 2" xfId="1935" xr:uid="{00000000-0005-0000-0000-0000A1070000}"/>
    <cellStyle name="Normal 18 14" xfId="1936" xr:uid="{00000000-0005-0000-0000-0000A2070000}"/>
    <cellStyle name="Normal 18 14 2" xfId="1937" xr:uid="{00000000-0005-0000-0000-0000A3070000}"/>
    <cellStyle name="Normal 18 15" xfId="1938" xr:uid="{00000000-0005-0000-0000-0000A4070000}"/>
    <cellStyle name="Normal 18 15 2" xfId="1939" xr:uid="{00000000-0005-0000-0000-0000A5070000}"/>
    <cellStyle name="Normal 18 16" xfId="1940" xr:uid="{00000000-0005-0000-0000-0000A6070000}"/>
    <cellStyle name="Normal 18 16 2" xfId="1941" xr:uid="{00000000-0005-0000-0000-0000A7070000}"/>
    <cellStyle name="Normal 18 17" xfId="1942" xr:uid="{00000000-0005-0000-0000-0000A8070000}"/>
    <cellStyle name="Normal 18 17 2" xfId="1943" xr:uid="{00000000-0005-0000-0000-0000A9070000}"/>
    <cellStyle name="Normal 18 18" xfId="1944" xr:uid="{00000000-0005-0000-0000-0000AA070000}"/>
    <cellStyle name="Normal 18 18 2" xfId="1945" xr:uid="{00000000-0005-0000-0000-0000AB070000}"/>
    <cellStyle name="Normal 18 19" xfId="1946" xr:uid="{00000000-0005-0000-0000-0000AC070000}"/>
    <cellStyle name="Normal 18 19 2" xfId="1947" xr:uid="{00000000-0005-0000-0000-0000AD070000}"/>
    <cellStyle name="Normal 18 2" xfId="1948" xr:uid="{00000000-0005-0000-0000-0000AE070000}"/>
    <cellStyle name="Normal 18 2 2" xfId="1949" xr:uid="{00000000-0005-0000-0000-0000AF070000}"/>
    <cellStyle name="Normal 18 20" xfId="1950" xr:uid="{00000000-0005-0000-0000-0000B0070000}"/>
    <cellStyle name="Normal 18 20 2" xfId="1951" xr:uid="{00000000-0005-0000-0000-0000B1070000}"/>
    <cellStyle name="Normal 18 21" xfId="1952" xr:uid="{00000000-0005-0000-0000-0000B2070000}"/>
    <cellStyle name="Normal 18 21 2" xfId="1953" xr:uid="{00000000-0005-0000-0000-0000B3070000}"/>
    <cellStyle name="Normal 18 22" xfId="1954" xr:uid="{00000000-0005-0000-0000-0000B4070000}"/>
    <cellStyle name="Normal 18 22 2" xfId="1955" xr:uid="{00000000-0005-0000-0000-0000B5070000}"/>
    <cellStyle name="Normal 18 23" xfId="1956" xr:uid="{00000000-0005-0000-0000-0000B6070000}"/>
    <cellStyle name="Normal 18 23 2" xfId="1957" xr:uid="{00000000-0005-0000-0000-0000B7070000}"/>
    <cellStyle name="Normal 18 24" xfId="1958" xr:uid="{00000000-0005-0000-0000-0000B8070000}"/>
    <cellStyle name="Normal 18 24 2" xfId="1959" xr:uid="{00000000-0005-0000-0000-0000B9070000}"/>
    <cellStyle name="Normal 18 25" xfId="1960" xr:uid="{00000000-0005-0000-0000-0000BA070000}"/>
    <cellStyle name="Normal 18 25 2" xfId="1961" xr:uid="{00000000-0005-0000-0000-0000BB070000}"/>
    <cellStyle name="Normal 18 26" xfId="1962" xr:uid="{00000000-0005-0000-0000-0000BC070000}"/>
    <cellStyle name="Normal 18 26 2" xfId="1963" xr:uid="{00000000-0005-0000-0000-0000BD070000}"/>
    <cellStyle name="Normal 18 27" xfId="1964" xr:uid="{00000000-0005-0000-0000-0000BE070000}"/>
    <cellStyle name="Normal 18 27 2" xfId="1965" xr:uid="{00000000-0005-0000-0000-0000BF070000}"/>
    <cellStyle name="Normal 18 28" xfId="1966" xr:uid="{00000000-0005-0000-0000-0000C0070000}"/>
    <cellStyle name="Normal 18 28 2" xfId="1967" xr:uid="{00000000-0005-0000-0000-0000C1070000}"/>
    <cellStyle name="Normal 18 29" xfId="1968" xr:uid="{00000000-0005-0000-0000-0000C2070000}"/>
    <cellStyle name="Normal 18 29 2" xfId="1969" xr:uid="{00000000-0005-0000-0000-0000C3070000}"/>
    <cellStyle name="Normal 18 3" xfId="1970" xr:uid="{00000000-0005-0000-0000-0000C4070000}"/>
    <cellStyle name="Normal 18 3 2" xfId="1971" xr:uid="{00000000-0005-0000-0000-0000C5070000}"/>
    <cellStyle name="Normal 18 30" xfId="1972" xr:uid="{00000000-0005-0000-0000-0000C6070000}"/>
    <cellStyle name="Normal 18 30 2" xfId="1973" xr:uid="{00000000-0005-0000-0000-0000C7070000}"/>
    <cellStyle name="Normal 18 31" xfId="1974" xr:uid="{00000000-0005-0000-0000-0000C8070000}"/>
    <cellStyle name="Normal 18 31 2" xfId="1975" xr:uid="{00000000-0005-0000-0000-0000C9070000}"/>
    <cellStyle name="Normal 18 32" xfId="1976" xr:uid="{00000000-0005-0000-0000-0000CA070000}"/>
    <cellStyle name="Normal 18 32 2" xfId="1977" xr:uid="{00000000-0005-0000-0000-0000CB070000}"/>
    <cellStyle name="Normal 18 33" xfId="1978" xr:uid="{00000000-0005-0000-0000-0000CC070000}"/>
    <cellStyle name="Normal 18 33 2" xfId="1979" xr:uid="{00000000-0005-0000-0000-0000CD070000}"/>
    <cellStyle name="Normal 18 34" xfId="1980" xr:uid="{00000000-0005-0000-0000-0000CE070000}"/>
    <cellStyle name="Normal 18 34 2" xfId="1981" xr:uid="{00000000-0005-0000-0000-0000CF070000}"/>
    <cellStyle name="Normal 18 35" xfId="1982" xr:uid="{00000000-0005-0000-0000-0000D0070000}"/>
    <cellStyle name="Normal 18 35 2" xfId="1983" xr:uid="{00000000-0005-0000-0000-0000D1070000}"/>
    <cellStyle name="Normal 18 36" xfId="1984" xr:uid="{00000000-0005-0000-0000-0000D2070000}"/>
    <cellStyle name="Normal 18 36 2" xfId="1985" xr:uid="{00000000-0005-0000-0000-0000D3070000}"/>
    <cellStyle name="Normal 18 37" xfId="1986" xr:uid="{00000000-0005-0000-0000-0000D4070000}"/>
    <cellStyle name="Normal 18 37 2" xfId="1987" xr:uid="{00000000-0005-0000-0000-0000D5070000}"/>
    <cellStyle name="Normal 18 38" xfId="1988" xr:uid="{00000000-0005-0000-0000-0000D6070000}"/>
    <cellStyle name="Normal 18 38 2" xfId="1989" xr:uid="{00000000-0005-0000-0000-0000D7070000}"/>
    <cellStyle name="Normal 18 39" xfId="1990" xr:uid="{00000000-0005-0000-0000-0000D8070000}"/>
    <cellStyle name="Normal 18 39 2" xfId="1991" xr:uid="{00000000-0005-0000-0000-0000D9070000}"/>
    <cellStyle name="Normal 18 4" xfId="1992" xr:uid="{00000000-0005-0000-0000-0000DA070000}"/>
    <cellStyle name="Normal 18 4 2" xfId="1993" xr:uid="{00000000-0005-0000-0000-0000DB070000}"/>
    <cellStyle name="Normal 18 40" xfId="1994" xr:uid="{00000000-0005-0000-0000-0000DC070000}"/>
    <cellStyle name="Normal 18 40 2" xfId="1995" xr:uid="{00000000-0005-0000-0000-0000DD070000}"/>
    <cellStyle name="Normal 18 41" xfId="1996" xr:uid="{00000000-0005-0000-0000-0000DE070000}"/>
    <cellStyle name="Normal 18 41 2" xfId="1997" xr:uid="{00000000-0005-0000-0000-0000DF070000}"/>
    <cellStyle name="Normal 18 5" xfId="1998" xr:uid="{00000000-0005-0000-0000-0000E0070000}"/>
    <cellStyle name="Normal 18 5 2" xfId="1999" xr:uid="{00000000-0005-0000-0000-0000E1070000}"/>
    <cellStyle name="Normal 18 6" xfId="2000" xr:uid="{00000000-0005-0000-0000-0000E2070000}"/>
    <cellStyle name="Normal 18 6 2" xfId="2001" xr:uid="{00000000-0005-0000-0000-0000E3070000}"/>
    <cellStyle name="Normal 18 7" xfId="2002" xr:uid="{00000000-0005-0000-0000-0000E4070000}"/>
    <cellStyle name="Normal 18 7 2" xfId="2003" xr:uid="{00000000-0005-0000-0000-0000E5070000}"/>
    <cellStyle name="Normal 18 8" xfId="2004" xr:uid="{00000000-0005-0000-0000-0000E6070000}"/>
    <cellStyle name="Normal 18 8 2" xfId="2005" xr:uid="{00000000-0005-0000-0000-0000E7070000}"/>
    <cellStyle name="Normal 18 9" xfId="2006" xr:uid="{00000000-0005-0000-0000-0000E8070000}"/>
    <cellStyle name="Normal 18 9 2" xfId="2007" xr:uid="{00000000-0005-0000-0000-0000E9070000}"/>
    <cellStyle name="Normal 18_Configurations FSC" xfId="2008" xr:uid="{00000000-0005-0000-0000-0000EA070000}"/>
    <cellStyle name="Normal 180" xfId="2009" xr:uid="{00000000-0005-0000-0000-0000EB070000}"/>
    <cellStyle name="Normal 180 2" xfId="2010" xr:uid="{00000000-0005-0000-0000-0000EC070000}"/>
    <cellStyle name="Normal 180 2 2" xfId="2011" xr:uid="{00000000-0005-0000-0000-0000ED070000}"/>
    <cellStyle name="Normal 181" xfId="2012" xr:uid="{00000000-0005-0000-0000-0000EE070000}"/>
    <cellStyle name="Normal 181 2" xfId="2013" xr:uid="{00000000-0005-0000-0000-0000EF070000}"/>
    <cellStyle name="Normal 181 2 2" xfId="2014" xr:uid="{00000000-0005-0000-0000-0000F0070000}"/>
    <cellStyle name="Normal 182" xfId="2015" xr:uid="{00000000-0005-0000-0000-0000F1070000}"/>
    <cellStyle name="Normal 182 2" xfId="2016" xr:uid="{00000000-0005-0000-0000-0000F2070000}"/>
    <cellStyle name="Normal 182 2 2" xfId="2017" xr:uid="{00000000-0005-0000-0000-0000F3070000}"/>
    <cellStyle name="Normal 183" xfId="2018" xr:uid="{00000000-0005-0000-0000-0000F4070000}"/>
    <cellStyle name="Normal 183 2" xfId="2019" xr:uid="{00000000-0005-0000-0000-0000F5070000}"/>
    <cellStyle name="Normal 183 2 2" xfId="2020" xr:uid="{00000000-0005-0000-0000-0000F6070000}"/>
    <cellStyle name="Normal 184" xfId="2021" xr:uid="{00000000-0005-0000-0000-0000F7070000}"/>
    <cellStyle name="Normal 184 2" xfId="2022" xr:uid="{00000000-0005-0000-0000-0000F8070000}"/>
    <cellStyle name="Normal 184 2 2" xfId="2023" xr:uid="{00000000-0005-0000-0000-0000F9070000}"/>
    <cellStyle name="Normal 185" xfId="2024" xr:uid="{00000000-0005-0000-0000-0000FA070000}"/>
    <cellStyle name="Normal 185 2" xfId="2025" xr:uid="{00000000-0005-0000-0000-0000FB070000}"/>
    <cellStyle name="Normal 185 2 2" xfId="2026" xr:uid="{00000000-0005-0000-0000-0000FC070000}"/>
    <cellStyle name="Normal 186" xfId="2027" xr:uid="{00000000-0005-0000-0000-0000FD070000}"/>
    <cellStyle name="Normal 186 2" xfId="2028" xr:uid="{00000000-0005-0000-0000-0000FE070000}"/>
    <cellStyle name="Normal 186 2 2" xfId="2029" xr:uid="{00000000-0005-0000-0000-0000FF070000}"/>
    <cellStyle name="Normal 187" xfId="2030" xr:uid="{00000000-0005-0000-0000-000000080000}"/>
    <cellStyle name="Normal 187 2" xfId="2031" xr:uid="{00000000-0005-0000-0000-000001080000}"/>
    <cellStyle name="Normal 187 2 2" xfId="2032" xr:uid="{00000000-0005-0000-0000-000002080000}"/>
    <cellStyle name="Normal 188" xfId="2033" xr:uid="{00000000-0005-0000-0000-000003080000}"/>
    <cellStyle name="Normal 188 2" xfId="2034" xr:uid="{00000000-0005-0000-0000-000004080000}"/>
    <cellStyle name="Normal 188 2 2" xfId="2035" xr:uid="{00000000-0005-0000-0000-000005080000}"/>
    <cellStyle name="Normal 189" xfId="2036" xr:uid="{00000000-0005-0000-0000-000006080000}"/>
    <cellStyle name="Normal 189 2" xfId="2037" xr:uid="{00000000-0005-0000-0000-000007080000}"/>
    <cellStyle name="Normal 189 2 2" xfId="2038" xr:uid="{00000000-0005-0000-0000-000008080000}"/>
    <cellStyle name="Normal 19" xfId="2039" xr:uid="{00000000-0005-0000-0000-000009080000}"/>
    <cellStyle name="Normal 19 10" xfId="2040" xr:uid="{00000000-0005-0000-0000-00000A080000}"/>
    <cellStyle name="Normal 19 10 2" xfId="2041" xr:uid="{00000000-0005-0000-0000-00000B080000}"/>
    <cellStyle name="Normal 19 11" xfId="2042" xr:uid="{00000000-0005-0000-0000-00000C080000}"/>
    <cellStyle name="Normal 19 11 2" xfId="2043" xr:uid="{00000000-0005-0000-0000-00000D080000}"/>
    <cellStyle name="Normal 19 12" xfId="2044" xr:uid="{00000000-0005-0000-0000-00000E080000}"/>
    <cellStyle name="Normal 19 12 2" xfId="2045" xr:uid="{00000000-0005-0000-0000-00000F080000}"/>
    <cellStyle name="Normal 19 13" xfId="2046" xr:uid="{00000000-0005-0000-0000-000010080000}"/>
    <cellStyle name="Normal 19 13 2" xfId="2047" xr:uid="{00000000-0005-0000-0000-000011080000}"/>
    <cellStyle name="Normal 19 14" xfId="2048" xr:uid="{00000000-0005-0000-0000-000012080000}"/>
    <cellStyle name="Normal 19 14 2" xfId="2049" xr:uid="{00000000-0005-0000-0000-000013080000}"/>
    <cellStyle name="Normal 19 15" xfId="2050" xr:uid="{00000000-0005-0000-0000-000014080000}"/>
    <cellStyle name="Normal 19 15 2" xfId="2051" xr:uid="{00000000-0005-0000-0000-000015080000}"/>
    <cellStyle name="Normal 19 16" xfId="2052" xr:uid="{00000000-0005-0000-0000-000016080000}"/>
    <cellStyle name="Normal 19 16 2" xfId="2053" xr:uid="{00000000-0005-0000-0000-000017080000}"/>
    <cellStyle name="Normal 19 17" xfId="2054" xr:uid="{00000000-0005-0000-0000-000018080000}"/>
    <cellStyle name="Normal 19 17 2" xfId="2055" xr:uid="{00000000-0005-0000-0000-000019080000}"/>
    <cellStyle name="Normal 19 18" xfId="2056" xr:uid="{00000000-0005-0000-0000-00001A080000}"/>
    <cellStyle name="Normal 19 18 2" xfId="2057" xr:uid="{00000000-0005-0000-0000-00001B080000}"/>
    <cellStyle name="Normal 19 19" xfId="2058" xr:uid="{00000000-0005-0000-0000-00001C080000}"/>
    <cellStyle name="Normal 19 19 2" xfId="2059" xr:uid="{00000000-0005-0000-0000-00001D080000}"/>
    <cellStyle name="Normal 19 2" xfId="2060" xr:uid="{00000000-0005-0000-0000-00001E080000}"/>
    <cellStyle name="Normal 19 2 2" xfId="2061" xr:uid="{00000000-0005-0000-0000-00001F080000}"/>
    <cellStyle name="Normal 19 20" xfId="2062" xr:uid="{00000000-0005-0000-0000-000020080000}"/>
    <cellStyle name="Normal 19 20 2" xfId="2063" xr:uid="{00000000-0005-0000-0000-000021080000}"/>
    <cellStyle name="Normal 19 21" xfId="2064" xr:uid="{00000000-0005-0000-0000-000022080000}"/>
    <cellStyle name="Normal 19 21 2" xfId="2065" xr:uid="{00000000-0005-0000-0000-000023080000}"/>
    <cellStyle name="Normal 19 22" xfId="2066" xr:uid="{00000000-0005-0000-0000-000024080000}"/>
    <cellStyle name="Normal 19 22 2" xfId="2067" xr:uid="{00000000-0005-0000-0000-000025080000}"/>
    <cellStyle name="Normal 19 23" xfId="2068" xr:uid="{00000000-0005-0000-0000-000026080000}"/>
    <cellStyle name="Normal 19 23 2" xfId="2069" xr:uid="{00000000-0005-0000-0000-000027080000}"/>
    <cellStyle name="Normal 19 24" xfId="2070" xr:uid="{00000000-0005-0000-0000-000028080000}"/>
    <cellStyle name="Normal 19 24 2" xfId="2071" xr:uid="{00000000-0005-0000-0000-000029080000}"/>
    <cellStyle name="Normal 19 25" xfId="2072" xr:uid="{00000000-0005-0000-0000-00002A080000}"/>
    <cellStyle name="Normal 19 25 2" xfId="2073" xr:uid="{00000000-0005-0000-0000-00002B080000}"/>
    <cellStyle name="Normal 19 26" xfId="2074" xr:uid="{00000000-0005-0000-0000-00002C080000}"/>
    <cellStyle name="Normal 19 26 2" xfId="2075" xr:uid="{00000000-0005-0000-0000-00002D080000}"/>
    <cellStyle name="Normal 19 27" xfId="2076" xr:uid="{00000000-0005-0000-0000-00002E080000}"/>
    <cellStyle name="Normal 19 27 2" xfId="2077" xr:uid="{00000000-0005-0000-0000-00002F080000}"/>
    <cellStyle name="Normal 19 28" xfId="2078" xr:uid="{00000000-0005-0000-0000-000030080000}"/>
    <cellStyle name="Normal 19 28 2" xfId="2079" xr:uid="{00000000-0005-0000-0000-000031080000}"/>
    <cellStyle name="Normal 19 29" xfId="2080" xr:uid="{00000000-0005-0000-0000-000032080000}"/>
    <cellStyle name="Normal 19 29 2" xfId="2081" xr:uid="{00000000-0005-0000-0000-000033080000}"/>
    <cellStyle name="Normal 19 3" xfId="2082" xr:uid="{00000000-0005-0000-0000-000034080000}"/>
    <cellStyle name="Normal 19 3 2" xfId="2083" xr:uid="{00000000-0005-0000-0000-000035080000}"/>
    <cellStyle name="Normal 19 30" xfId="2084" xr:uid="{00000000-0005-0000-0000-000036080000}"/>
    <cellStyle name="Normal 19 30 2" xfId="2085" xr:uid="{00000000-0005-0000-0000-000037080000}"/>
    <cellStyle name="Normal 19 31" xfId="2086" xr:uid="{00000000-0005-0000-0000-000038080000}"/>
    <cellStyle name="Normal 19 31 2" xfId="2087" xr:uid="{00000000-0005-0000-0000-000039080000}"/>
    <cellStyle name="Normal 19 32" xfId="2088" xr:uid="{00000000-0005-0000-0000-00003A080000}"/>
    <cellStyle name="Normal 19 32 2" xfId="2089" xr:uid="{00000000-0005-0000-0000-00003B080000}"/>
    <cellStyle name="Normal 19 33" xfId="2090" xr:uid="{00000000-0005-0000-0000-00003C080000}"/>
    <cellStyle name="Normal 19 33 2" xfId="2091" xr:uid="{00000000-0005-0000-0000-00003D080000}"/>
    <cellStyle name="Normal 19 34" xfId="2092" xr:uid="{00000000-0005-0000-0000-00003E080000}"/>
    <cellStyle name="Normal 19 34 2" xfId="2093" xr:uid="{00000000-0005-0000-0000-00003F080000}"/>
    <cellStyle name="Normal 19 35" xfId="2094" xr:uid="{00000000-0005-0000-0000-000040080000}"/>
    <cellStyle name="Normal 19 35 2" xfId="2095" xr:uid="{00000000-0005-0000-0000-000041080000}"/>
    <cellStyle name="Normal 19 36" xfId="2096" xr:uid="{00000000-0005-0000-0000-000042080000}"/>
    <cellStyle name="Normal 19 36 2" xfId="2097" xr:uid="{00000000-0005-0000-0000-000043080000}"/>
    <cellStyle name="Normal 19 37" xfId="2098" xr:uid="{00000000-0005-0000-0000-000044080000}"/>
    <cellStyle name="Normal 19 37 2" xfId="2099" xr:uid="{00000000-0005-0000-0000-000045080000}"/>
    <cellStyle name="Normal 19 38" xfId="2100" xr:uid="{00000000-0005-0000-0000-000046080000}"/>
    <cellStyle name="Normal 19 38 2" xfId="2101" xr:uid="{00000000-0005-0000-0000-000047080000}"/>
    <cellStyle name="Normal 19 39" xfId="2102" xr:uid="{00000000-0005-0000-0000-000048080000}"/>
    <cellStyle name="Normal 19 39 2" xfId="2103" xr:uid="{00000000-0005-0000-0000-000049080000}"/>
    <cellStyle name="Normal 19 4" xfId="2104" xr:uid="{00000000-0005-0000-0000-00004A080000}"/>
    <cellStyle name="Normal 19 4 2" xfId="2105" xr:uid="{00000000-0005-0000-0000-00004B080000}"/>
    <cellStyle name="Normal 19 40" xfId="2106" xr:uid="{00000000-0005-0000-0000-00004C080000}"/>
    <cellStyle name="Normal 19 40 2" xfId="2107" xr:uid="{00000000-0005-0000-0000-00004D080000}"/>
    <cellStyle name="Normal 19 41" xfId="2108" xr:uid="{00000000-0005-0000-0000-00004E080000}"/>
    <cellStyle name="Normal 19 41 2" xfId="2109" xr:uid="{00000000-0005-0000-0000-00004F080000}"/>
    <cellStyle name="Normal 19 5" xfId="2110" xr:uid="{00000000-0005-0000-0000-000050080000}"/>
    <cellStyle name="Normal 19 5 2" xfId="2111" xr:uid="{00000000-0005-0000-0000-000051080000}"/>
    <cellStyle name="Normal 19 6" xfId="2112" xr:uid="{00000000-0005-0000-0000-000052080000}"/>
    <cellStyle name="Normal 19 6 2" xfId="2113" xr:uid="{00000000-0005-0000-0000-000053080000}"/>
    <cellStyle name="Normal 19 7" xfId="2114" xr:uid="{00000000-0005-0000-0000-000054080000}"/>
    <cellStyle name="Normal 19 7 2" xfId="2115" xr:uid="{00000000-0005-0000-0000-000055080000}"/>
    <cellStyle name="Normal 19 8" xfId="2116" xr:uid="{00000000-0005-0000-0000-000056080000}"/>
    <cellStyle name="Normal 19 8 2" xfId="2117" xr:uid="{00000000-0005-0000-0000-000057080000}"/>
    <cellStyle name="Normal 19 9" xfId="2118" xr:uid="{00000000-0005-0000-0000-000058080000}"/>
    <cellStyle name="Normal 19 9 2" xfId="2119" xr:uid="{00000000-0005-0000-0000-000059080000}"/>
    <cellStyle name="Normal 19_Configurations FSC" xfId="2120" xr:uid="{00000000-0005-0000-0000-00005A080000}"/>
    <cellStyle name="Normal 190" xfId="2121" xr:uid="{00000000-0005-0000-0000-00005B080000}"/>
    <cellStyle name="Normal 190 2" xfId="2122" xr:uid="{00000000-0005-0000-0000-00005C080000}"/>
    <cellStyle name="Normal 190 2 2" xfId="2123" xr:uid="{00000000-0005-0000-0000-00005D080000}"/>
    <cellStyle name="Normal 191" xfId="2124" xr:uid="{00000000-0005-0000-0000-00005E080000}"/>
    <cellStyle name="Normal 191 2" xfId="2125" xr:uid="{00000000-0005-0000-0000-00005F080000}"/>
    <cellStyle name="Normal 191 2 2" xfId="2126" xr:uid="{00000000-0005-0000-0000-000060080000}"/>
    <cellStyle name="Normal 192" xfId="2127" xr:uid="{00000000-0005-0000-0000-000061080000}"/>
    <cellStyle name="Normal 192 2" xfId="2128" xr:uid="{00000000-0005-0000-0000-000062080000}"/>
    <cellStyle name="Normal 192 2 2" xfId="2129" xr:uid="{00000000-0005-0000-0000-000063080000}"/>
    <cellStyle name="Normal 193" xfId="2130" xr:uid="{00000000-0005-0000-0000-000064080000}"/>
    <cellStyle name="Normal 193 2" xfId="2131" xr:uid="{00000000-0005-0000-0000-000065080000}"/>
    <cellStyle name="Normal 193 2 2" xfId="2132" xr:uid="{00000000-0005-0000-0000-000066080000}"/>
    <cellStyle name="Normal 194" xfId="2133" xr:uid="{00000000-0005-0000-0000-000067080000}"/>
    <cellStyle name="Normal 194 2" xfId="2134" xr:uid="{00000000-0005-0000-0000-000068080000}"/>
    <cellStyle name="Normal 195" xfId="2135" xr:uid="{00000000-0005-0000-0000-000069080000}"/>
    <cellStyle name="Normal 195 2" xfId="2136" xr:uid="{00000000-0005-0000-0000-00006A080000}"/>
    <cellStyle name="Normal 195 2 2" xfId="4988" xr:uid="{00000000-0005-0000-0000-00006A080000}"/>
    <cellStyle name="Normal 195 3" xfId="2137" xr:uid="{00000000-0005-0000-0000-00006B080000}"/>
    <cellStyle name="Normal 195 3 2" xfId="4989" xr:uid="{00000000-0005-0000-0000-00006B080000}"/>
    <cellStyle name="Normal 195 4" xfId="2138" xr:uid="{00000000-0005-0000-0000-00006C080000}"/>
    <cellStyle name="Normal 195 4 2" xfId="4990" xr:uid="{00000000-0005-0000-0000-00006C080000}"/>
    <cellStyle name="Normal 195 5" xfId="2139" xr:uid="{00000000-0005-0000-0000-00006D080000}"/>
    <cellStyle name="Normal 195 5 2" xfId="5" xr:uid="{00000000-0005-0000-0000-00006E080000}"/>
    <cellStyle name="Normal 195 5 2 2" xfId="4926" xr:uid="{00000000-0005-0000-0000-00006E080000}"/>
    <cellStyle name="Normal 195 5 3" xfId="4991" xr:uid="{00000000-0005-0000-0000-00006D080000}"/>
    <cellStyle name="Normal 195 6" xfId="4987" xr:uid="{00000000-0005-0000-0000-000069080000}"/>
    <cellStyle name="Normal 195 7" xfId="5076" xr:uid="{9C4935A6-60DD-4351-B93F-2ACF530805F0}"/>
    <cellStyle name="Normal 195 8" xfId="5077" xr:uid="{DB25639F-DD9C-4A36-9ACB-48FB84E0ABB9}"/>
    <cellStyle name="Normal 196" xfId="2140" xr:uid="{00000000-0005-0000-0000-00006F080000}"/>
    <cellStyle name="Normal 196 2" xfId="2141" xr:uid="{00000000-0005-0000-0000-000070080000}"/>
    <cellStyle name="Normal 197" xfId="14" xr:uid="{00000000-0005-0000-0000-000071080000}"/>
    <cellStyle name="Normal 197 2" xfId="2142" xr:uid="{00000000-0005-0000-0000-000072080000}"/>
    <cellStyle name="Normal 198" xfId="2143" xr:uid="{00000000-0005-0000-0000-000073080000}"/>
    <cellStyle name="Normal 198 2" xfId="2144" xr:uid="{00000000-0005-0000-0000-000074080000}"/>
    <cellStyle name="Normal 199" xfId="2145" xr:uid="{00000000-0005-0000-0000-000075080000}"/>
    <cellStyle name="Normal 199 2" xfId="2146" xr:uid="{00000000-0005-0000-0000-000076080000}"/>
    <cellStyle name="Normal 199 3" xfId="2147" xr:uid="{00000000-0005-0000-0000-000077080000}"/>
    <cellStyle name="Normal 199 3 2" xfId="2148" xr:uid="{00000000-0005-0000-0000-000078080000}"/>
    <cellStyle name="Normal 2" xfId="4" xr:uid="{00000000-0005-0000-0000-000079080000}"/>
    <cellStyle name="Normal 2 10" xfId="2149" xr:uid="{00000000-0005-0000-0000-00007A080000}"/>
    <cellStyle name="Normal 2 10 2" xfId="2150" xr:uid="{00000000-0005-0000-0000-00007B080000}"/>
    <cellStyle name="Normal 2 10 2 2" xfId="2151" xr:uid="{00000000-0005-0000-0000-00007C080000}"/>
    <cellStyle name="Normal 2 10 3" xfId="2152" xr:uid="{00000000-0005-0000-0000-00007D080000}"/>
    <cellStyle name="Normal 2 10 3 2" xfId="2153" xr:uid="{00000000-0005-0000-0000-00007E080000}"/>
    <cellStyle name="Normal 2 100" xfId="2154" xr:uid="{00000000-0005-0000-0000-00007F080000}"/>
    <cellStyle name="Normal 2 100 2" xfId="2155" xr:uid="{00000000-0005-0000-0000-000080080000}"/>
    <cellStyle name="Normal 2 100 2 2" xfId="2156" xr:uid="{00000000-0005-0000-0000-000081080000}"/>
    <cellStyle name="Normal 2 101" xfId="2157" xr:uid="{00000000-0005-0000-0000-000082080000}"/>
    <cellStyle name="Normal 2 101 2" xfId="2158" xr:uid="{00000000-0005-0000-0000-000083080000}"/>
    <cellStyle name="Normal 2 101 2 2" xfId="2159" xr:uid="{00000000-0005-0000-0000-000084080000}"/>
    <cellStyle name="Normal 2 102" xfId="2160" xr:uid="{00000000-0005-0000-0000-000085080000}"/>
    <cellStyle name="Normal 2 102 2" xfId="2161" xr:uid="{00000000-0005-0000-0000-000086080000}"/>
    <cellStyle name="Normal 2 102 2 2" xfId="2162" xr:uid="{00000000-0005-0000-0000-000087080000}"/>
    <cellStyle name="Normal 2 103" xfId="2163" xr:uid="{00000000-0005-0000-0000-000088080000}"/>
    <cellStyle name="Normal 2 103 2" xfId="2164" xr:uid="{00000000-0005-0000-0000-000089080000}"/>
    <cellStyle name="Normal 2 103 2 2" xfId="2165" xr:uid="{00000000-0005-0000-0000-00008A080000}"/>
    <cellStyle name="Normal 2 104" xfId="2166" xr:uid="{00000000-0005-0000-0000-00008B080000}"/>
    <cellStyle name="Normal 2 104 2" xfId="2167" xr:uid="{00000000-0005-0000-0000-00008C080000}"/>
    <cellStyle name="Normal 2 104 2 2" xfId="2168" xr:uid="{00000000-0005-0000-0000-00008D080000}"/>
    <cellStyle name="Normal 2 105" xfId="2169" xr:uid="{00000000-0005-0000-0000-00008E080000}"/>
    <cellStyle name="Normal 2 105 2" xfId="2170" xr:uid="{00000000-0005-0000-0000-00008F080000}"/>
    <cellStyle name="Normal 2 105 2 2" xfId="2171" xr:uid="{00000000-0005-0000-0000-000090080000}"/>
    <cellStyle name="Normal 2 106" xfId="2172" xr:uid="{00000000-0005-0000-0000-000091080000}"/>
    <cellStyle name="Normal 2 106 2" xfId="2173" xr:uid="{00000000-0005-0000-0000-000092080000}"/>
    <cellStyle name="Normal 2 106 2 2" xfId="2174" xr:uid="{00000000-0005-0000-0000-000093080000}"/>
    <cellStyle name="Normal 2 107" xfId="2175" xr:uid="{00000000-0005-0000-0000-000094080000}"/>
    <cellStyle name="Normal 2 107 2" xfId="2176" xr:uid="{00000000-0005-0000-0000-000095080000}"/>
    <cellStyle name="Normal 2 107 2 2" xfId="2177" xr:uid="{00000000-0005-0000-0000-000096080000}"/>
    <cellStyle name="Normal 2 108" xfId="2178" xr:uid="{00000000-0005-0000-0000-000097080000}"/>
    <cellStyle name="Normal 2 108 2" xfId="2179" xr:uid="{00000000-0005-0000-0000-000098080000}"/>
    <cellStyle name="Normal 2 108 2 2" xfId="2180" xr:uid="{00000000-0005-0000-0000-000099080000}"/>
    <cellStyle name="Normal 2 109" xfId="2181" xr:uid="{00000000-0005-0000-0000-00009A080000}"/>
    <cellStyle name="Normal 2 109 2" xfId="2182" xr:uid="{00000000-0005-0000-0000-00009B080000}"/>
    <cellStyle name="Normal 2 109 2 2" xfId="2183" xr:uid="{00000000-0005-0000-0000-00009C080000}"/>
    <cellStyle name="Normal 2 11" xfId="2184" xr:uid="{00000000-0005-0000-0000-00009D080000}"/>
    <cellStyle name="Normal 2 11 2" xfId="2185" xr:uid="{00000000-0005-0000-0000-00009E080000}"/>
    <cellStyle name="Normal 2 11 2 2" xfId="2186" xr:uid="{00000000-0005-0000-0000-00009F080000}"/>
    <cellStyle name="Normal 2 110" xfId="2187" xr:uid="{00000000-0005-0000-0000-0000A0080000}"/>
    <cellStyle name="Normal 2 110 2" xfId="2188" xr:uid="{00000000-0005-0000-0000-0000A1080000}"/>
    <cellStyle name="Normal 2 110 2 2" xfId="2189" xr:uid="{00000000-0005-0000-0000-0000A2080000}"/>
    <cellStyle name="Normal 2 111" xfId="2190" xr:uid="{00000000-0005-0000-0000-0000A3080000}"/>
    <cellStyle name="Normal 2 111 2" xfId="2191" xr:uid="{00000000-0005-0000-0000-0000A4080000}"/>
    <cellStyle name="Normal 2 111 2 2" xfId="2192" xr:uid="{00000000-0005-0000-0000-0000A5080000}"/>
    <cellStyle name="Normal 2 112" xfId="2193" xr:uid="{00000000-0005-0000-0000-0000A6080000}"/>
    <cellStyle name="Normal 2 112 2" xfId="2194" xr:uid="{00000000-0005-0000-0000-0000A7080000}"/>
    <cellStyle name="Normal 2 112 2 2" xfId="2195" xr:uid="{00000000-0005-0000-0000-0000A8080000}"/>
    <cellStyle name="Normal 2 113" xfId="2196" xr:uid="{00000000-0005-0000-0000-0000A9080000}"/>
    <cellStyle name="Normal 2 113 2" xfId="2197" xr:uid="{00000000-0005-0000-0000-0000AA080000}"/>
    <cellStyle name="Normal 2 113 2 2" xfId="2198" xr:uid="{00000000-0005-0000-0000-0000AB080000}"/>
    <cellStyle name="Normal 2 114" xfId="2199" xr:uid="{00000000-0005-0000-0000-0000AC080000}"/>
    <cellStyle name="Normal 2 114 2" xfId="2200" xr:uid="{00000000-0005-0000-0000-0000AD080000}"/>
    <cellStyle name="Normal 2 114 2 2" xfId="2201" xr:uid="{00000000-0005-0000-0000-0000AE080000}"/>
    <cellStyle name="Normal 2 115" xfId="2202" xr:uid="{00000000-0005-0000-0000-0000AF080000}"/>
    <cellStyle name="Normal 2 115 2" xfId="2203" xr:uid="{00000000-0005-0000-0000-0000B0080000}"/>
    <cellStyle name="Normal 2 115 2 2" xfId="2204" xr:uid="{00000000-0005-0000-0000-0000B1080000}"/>
    <cellStyle name="Normal 2 116" xfId="2205" xr:uid="{00000000-0005-0000-0000-0000B2080000}"/>
    <cellStyle name="Normal 2 116 2" xfId="2206" xr:uid="{00000000-0005-0000-0000-0000B3080000}"/>
    <cellStyle name="Normal 2 116 2 2" xfId="2207" xr:uid="{00000000-0005-0000-0000-0000B4080000}"/>
    <cellStyle name="Normal 2 117" xfId="2208" xr:uid="{00000000-0005-0000-0000-0000B5080000}"/>
    <cellStyle name="Normal 2 117 2" xfId="2209" xr:uid="{00000000-0005-0000-0000-0000B6080000}"/>
    <cellStyle name="Normal 2 117 2 2" xfId="2210" xr:uid="{00000000-0005-0000-0000-0000B7080000}"/>
    <cellStyle name="Normal 2 118" xfId="2211" xr:uid="{00000000-0005-0000-0000-0000B8080000}"/>
    <cellStyle name="Normal 2 118 2" xfId="2212" xr:uid="{00000000-0005-0000-0000-0000B9080000}"/>
    <cellStyle name="Normal 2 118 2 2" xfId="2213" xr:uid="{00000000-0005-0000-0000-0000BA080000}"/>
    <cellStyle name="Normal 2 119" xfId="2214" xr:uid="{00000000-0005-0000-0000-0000BB080000}"/>
    <cellStyle name="Normal 2 119 2" xfId="2215" xr:uid="{00000000-0005-0000-0000-0000BC080000}"/>
    <cellStyle name="Normal 2 119 2 2" xfId="2216" xr:uid="{00000000-0005-0000-0000-0000BD080000}"/>
    <cellStyle name="Normal 2 12" xfId="2217" xr:uid="{00000000-0005-0000-0000-0000BE080000}"/>
    <cellStyle name="Normal 2 12 2" xfId="2218" xr:uid="{00000000-0005-0000-0000-0000BF080000}"/>
    <cellStyle name="Normal 2 12 2 2" xfId="2219" xr:uid="{00000000-0005-0000-0000-0000C0080000}"/>
    <cellStyle name="Normal 2 120" xfId="2220" xr:uid="{00000000-0005-0000-0000-0000C1080000}"/>
    <cellStyle name="Normal 2 120 2" xfId="2221" xr:uid="{00000000-0005-0000-0000-0000C2080000}"/>
    <cellStyle name="Normal 2 120 2 2" xfId="2222" xr:uid="{00000000-0005-0000-0000-0000C3080000}"/>
    <cellStyle name="Normal 2 121" xfId="2223" xr:uid="{00000000-0005-0000-0000-0000C4080000}"/>
    <cellStyle name="Normal 2 121 2" xfId="2224" xr:uid="{00000000-0005-0000-0000-0000C5080000}"/>
    <cellStyle name="Normal 2 121 2 2" xfId="2225" xr:uid="{00000000-0005-0000-0000-0000C6080000}"/>
    <cellStyle name="Normal 2 122" xfId="2226" xr:uid="{00000000-0005-0000-0000-0000C7080000}"/>
    <cellStyle name="Normal 2 122 2" xfId="2227" xr:uid="{00000000-0005-0000-0000-0000C8080000}"/>
    <cellStyle name="Normal 2 122 2 2" xfId="2228" xr:uid="{00000000-0005-0000-0000-0000C9080000}"/>
    <cellStyle name="Normal 2 123" xfId="2229" xr:uid="{00000000-0005-0000-0000-0000CA080000}"/>
    <cellStyle name="Normal 2 123 2" xfId="2230" xr:uid="{00000000-0005-0000-0000-0000CB080000}"/>
    <cellStyle name="Normal 2 123 2 2" xfId="2231" xr:uid="{00000000-0005-0000-0000-0000CC080000}"/>
    <cellStyle name="Normal 2 124" xfId="2232" xr:uid="{00000000-0005-0000-0000-0000CD080000}"/>
    <cellStyle name="Normal 2 124 2" xfId="2233" xr:uid="{00000000-0005-0000-0000-0000CE080000}"/>
    <cellStyle name="Normal 2 124 2 2" xfId="2234" xr:uid="{00000000-0005-0000-0000-0000CF080000}"/>
    <cellStyle name="Normal 2 125" xfId="2235" xr:uid="{00000000-0005-0000-0000-0000D0080000}"/>
    <cellStyle name="Normal 2 125 2" xfId="2236" xr:uid="{00000000-0005-0000-0000-0000D1080000}"/>
    <cellStyle name="Normal 2 125 2 2" xfId="2237" xr:uid="{00000000-0005-0000-0000-0000D2080000}"/>
    <cellStyle name="Normal 2 126" xfId="2238" xr:uid="{00000000-0005-0000-0000-0000D3080000}"/>
    <cellStyle name="Normal 2 126 2" xfId="2239" xr:uid="{00000000-0005-0000-0000-0000D4080000}"/>
    <cellStyle name="Normal 2 126 2 2" xfId="2240" xr:uid="{00000000-0005-0000-0000-0000D5080000}"/>
    <cellStyle name="Normal 2 127" xfId="2241" xr:uid="{00000000-0005-0000-0000-0000D6080000}"/>
    <cellStyle name="Normal 2 127 2" xfId="2242" xr:uid="{00000000-0005-0000-0000-0000D7080000}"/>
    <cellStyle name="Normal 2 127 2 2" xfId="2243" xr:uid="{00000000-0005-0000-0000-0000D8080000}"/>
    <cellStyle name="Normal 2 128" xfId="2244" xr:uid="{00000000-0005-0000-0000-0000D9080000}"/>
    <cellStyle name="Normal 2 128 2" xfId="2245" xr:uid="{00000000-0005-0000-0000-0000DA080000}"/>
    <cellStyle name="Normal 2 128 2 2" xfId="2246" xr:uid="{00000000-0005-0000-0000-0000DB080000}"/>
    <cellStyle name="Normal 2 129" xfId="2247" xr:uid="{00000000-0005-0000-0000-0000DC080000}"/>
    <cellStyle name="Normal 2 129 2" xfId="2248" xr:uid="{00000000-0005-0000-0000-0000DD080000}"/>
    <cellStyle name="Normal 2 129 2 2" xfId="2249" xr:uid="{00000000-0005-0000-0000-0000DE080000}"/>
    <cellStyle name="Normal 2 13" xfId="2250" xr:uid="{00000000-0005-0000-0000-0000DF080000}"/>
    <cellStyle name="Normal 2 13 2" xfId="2251" xr:uid="{00000000-0005-0000-0000-0000E0080000}"/>
    <cellStyle name="Normal 2 13 2 2" xfId="2252" xr:uid="{00000000-0005-0000-0000-0000E1080000}"/>
    <cellStyle name="Normal 2 130" xfId="2253" xr:uid="{00000000-0005-0000-0000-0000E2080000}"/>
    <cellStyle name="Normal 2 130 2" xfId="2254" xr:uid="{00000000-0005-0000-0000-0000E3080000}"/>
    <cellStyle name="Normal 2 130 2 2" xfId="2255" xr:uid="{00000000-0005-0000-0000-0000E4080000}"/>
    <cellStyle name="Normal 2 131" xfId="2256" xr:uid="{00000000-0005-0000-0000-0000E5080000}"/>
    <cellStyle name="Normal 2 131 2" xfId="2257" xr:uid="{00000000-0005-0000-0000-0000E6080000}"/>
    <cellStyle name="Normal 2 131 2 2" xfId="2258" xr:uid="{00000000-0005-0000-0000-0000E7080000}"/>
    <cellStyle name="Normal 2 132" xfId="2259" xr:uid="{00000000-0005-0000-0000-0000E8080000}"/>
    <cellStyle name="Normal 2 132 2" xfId="2260" xr:uid="{00000000-0005-0000-0000-0000E9080000}"/>
    <cellStyle name="Normal 2 132 2 2" xfId="2261" xr:uid="{00000000-0005-0000-0000-0000EA080000}"/>
    <cellStyle name="Normal 2 133" xfId="2262" xr:uid="{00000000-0005-0000-0000-0000EB080000}"/>
    <cellStyle name="Normal 2 133 2" xfId="2263" xr:uid="{00000000-0005-0000-0000-0000EC080000}"/>
    <cellStyle name="Normal 2 133 2 2" xfId="2264" xr:uid="{00000000-0005-0000-0000-0000ED080000}"/>
    <cellStyle name="Normal 2 134" xfId="2265" xr:uid="{00000000-0005-0000-0000-0000EE080000}"/>
    <cellStyle name="Normal 2 134 2" xfId="2266" xr:uid="{00000000-0005-0000-0000-0000EF080000}"/>
    <cellStyle name="Normal 2 134 2 2" xfId="2267" xr:uid="{00000000-0005-0000-0000-0000F0080000}"/>
    <cellStyle name="Normal 2 135" xfId="2268" xr:uid="{00000000-0005-0000-0000-0000F1080000}"/>
    <cellStyle name="Normal 2 135 2" xfId="2269" xr:uid="{00000000-0005-0000-0000-0000F2080000}"/>
    <cellStyle name="Normal 2 135 2 2" xfId="2270" xr:uid="{00000000-0005-0000-0000-0000F3080000}"/>
    <cellStyle name="Normal 2 136" xfId="2271" xr:uid="{00000000-0005-0000-0000-0000F4080000}"/>
    <cellStyle name="Normal 2 136 2" xfId="2272" xr:uid="{00000000-0005-0000-0000-0000F5080000}"/>
    <cellStyle name="Normal 2 136 2 2" xfId="2273" xr:uid="{00000000-0005-0000-0000-0000F6080000}"/>
    <cellStyle name="Normal 2 137" xfId="2274" xr:uid="{00000000-0005-0000-0000-0000F7080000}"/>
    <cellStyle name="Normal 2 137 2" xfId="2275" xr:uid="{00000000-0005-0000-0000-0000F8080000}"/>
    <cellStyle name="Normal 2 137 2 2" xfId="2276" xr:uid="{00000000-0005-0000-0000-0000F9080000}"/>
    <cellStyle name="Normal 2 138" xfId="2277" xr:uid="{00000000-0005-0000-0000-0000FA080000}"/>
    <cellStyle name="Normal 2 138 2" xfId="2278" xr:uid="{00000000-0005-0000-0000-0000FB080000}"/>
    <cellStyle name="Normal 2 138 2 2" xfId="2279" xr:uid="{00000000-0005-0000-0000-0000FC080000}"/>
    <cellStyle name="Normal 2 139" xfId="2280" xr:uid="{00000000-0005-0000-0000-0000FD080000}"/>
    <cellStyle name="Normal 2 139 2" xfId="2281" xr:uid="{00000000-0005-0000-0000-0000FE080000}"/>
    <cellStyle name="Normal 2 139 2 2" xfId="2282" xr:uid="{00000000-0005-0000-0000-0000FF080000}"/>
    <cellStyle name="Normal 2 14" xfId="2283" xr:uid="{00000000-0005-0000-0000-000000090000}"/>
    <cellStyle name="Normal 2 14 2" xfId="2284" xr:uid="{00000000-0005-0000-0000-000001090000}"/>
    <cellStyle name="Normal 2 14 2 2" xfId="2285" xr:uid="{00000000-0005-0000-0000-000002090000}"/>
    <cellStyle name="Normal 2 140" xfId="2286" xr:uid="{00000000-0005-0000-0000-000003090000}"/>
    <cellStyle name="Normal 2 140 2" xfId="2287" xr:uid="{00000000-0005-0000-0000-000004090000}"/>
    <cellStyle name="Normal 2 140 2 2" xfId="2288" xr:uid="{00000000-0005-0000-0000-000005090000}"/>
    <cellStyle name="Normal 2 141" xfId="2289" xr:uid="{00000000-0005-0000-0000-000006090000}"/>
    <cellStyle name="Normal 2 141 2" xfId="2290" xr:uid="{00000000-0005-0000-0000-000007090000}"/>
    <cellStyle name="Normal 2 141 2 2" xfId="2291" xr:uid="{00000000-0005-0000-0000-000008090000}"/>
    <cellStyle name="Normal 2 142" xfId="2292" xr:uid="{00000000-0005-0000-0000-000009090000}"/>
    <cellStyle name="Normal 2 142 2" xfId="2293" xr:uid="{00000000-0005-0000-0000-00000A090000}"/>
    <cellStyle name="Normal 2 142 2 2" xfId="2294" xr:uid="{00000000-0005-0000-0000-00000B090000}"/>
    <cellStyle name="Normal 2 143" xfId="2295" xr:uid="{00000000-0005-0000-0000-00000C090000}"/>
    <cellStyle name="Normal 2 143 2" xfId="2296" xr:uid="{00000000-0005-0000-0000-00000D090000}"/>
    <cellStyle name="Normal 2 143 2 2" xfId="2297" xr:uid="{00000000-0005-0000-0000-00000E090000}"/>
    <cellStyle name="Normal 2 144" xfId="2298" xr:uid="{00000000-0005-0000-0000-00000F090000}"/>
    <cellStyle name="Normal 2 144 2" xfId="2299" xr:uid="{00000000-0005-0000-0000-000010090000}"/>
    <cellStyle name="Normal 2 144 2 2" xfId="2300" xr:uid="{00000000-0005-0000-0000-000011090000}"/>
    <cellStyle name="Normal 2 145" xfId="2301" xr:uid="{00000000-0005-0000-0000-000012090000}"/>
    <cellStyle name="Normal 2 145 2" xfId="2302" xr:uid="{00000000-0005-0000-0000-000013090000}"/>
    <cellStyle name="Normal 2 145 2 2" xfId="2303" xr:uid="{00000000-0005-0000-0000-000014090000}"/>
    <cellStyle name="Normal 2 146" xfId="2304" xr:uid="{00000000-0005-0000-0000-000015090000}"/>
    <cellStyle name="Normal 2 146 2" xfId="2305" xr:uid="{00000000-0005-0000-0000-000016090000}"/>
    <cellStyle name="Normal 2 146 2 2" xfId="2306" xr:uid="{00000000-0005-0000-0000-000017090000}"/>
    <cellStyle name="Normal 2 147" xfId="2307" xr:uid="{00000000-0005-0000-0000-000018090000}"/>
    <cellStyle name="Normal 2 147 2" xfId="2308" xr:uid="{00000000-0005-0000-0000-000019090000}"/>
    <cellStyle name="Normal 2 147 2 2" xfId="2309" xr:uid="{00000000-0005-0000-0000-00001A090000}"/>
    <cellStyle name="Normal 2 148" xfId="2310" xr:uid="{00000000-0005-0000-0000-00001B090000}"/>
    <cellStyle name="Normal 2 148 2" xfId="2311" xr:uid="{00000000-0005-0000-0000-00001C090000}"/>
    <cellStyle name="Normal 2 148 2 2" xfId="2312" xr:uid="{00000000-0005-0000-0000-00001D090000}"/>
    <cellStyle name="Normal 2 149" xfId="2313" xr:uid="{00000000-0005-0000-0000-00001E090000}"/>
    <cellStyle name="Normal 2 149 2" xfId="2314" xr:uid="{00000000-0005-0000-0000-00001F090000}"/>
    <cellStyle name="Normal 2 149 2 2" xfId="2315" xr:uid="{00000000-0005-0000-0000-000020090000}"/>
    <cellStyle name="Normal 2 15" xfId="2316" xr:uid="{00000000-0005-0000-0000-000021090000}"/>
    <cellStyle name="Normal 2 15 2" xfId="2317" xr:uid="{00000000-0005-0000-0000-000022090000}"/>
    <cellStyle name="Normal 2 15 2 2" xfId="2318" xr:uid="{00000000-0005-0000-0000-000023090000}"/>
    <cellStyle name="Normal 2 150" xfId="2319" xr:uid="{00000000-0005-0000-0000-000024090000}"/>
    <cellStyle name="Normal 2 150 2" xfId="2320" xr:uid="{00000000-0005-0000-0000-000025090000}"/>
    <cellStyle name="Normal 2 150 2 2" xfId="2321" xr:uid="{00000000-0005-0000-0000-000026090000}"/>
    <cellStyle name="Normal 2 151" xfId="2322" xr:uid="{00000000-0005-0000-0000-000027090000}"/>
    <cellStyle name="Normal 2 151 2" xfId="2323" xr:uid="{00000000-0005-0000-0000-000028090000}"/>
    <cellStyle name="Normal 2 151 2 2" xfId="2324" xr:uid="{00000000-0005-0000-0000-000029090000}"/>
    <cellStyle name="Normal 2 152" xfId="2325" xr:uid="{00000000-0005-0000-0000-00002A090000}"/>
    <cellStyle name="Normal 2 152 2" xfId="2326" xr:uid="{00000000-0005-0000-0000-00002B090000}"/>
    <cellStyle name="Normal 2 152 2 2" xfId="2327" xr:uid="{00000000-0005-0000-0000-00002C090000}"/>
    <cellStyle name="Normal 2 153" xfId="2328" xr:uid="{00000000-0005-0000-0000-00002D090000}"/>
    <cellStyle name="Normal 2 153 2" xfId="2329" xr:uid="{00000000-0005-0000-0000-00002E090000}"/>
    <cellStyle name="Normal 2 153 2 2" xfId="2330" xr:uid="{00000000-0005-0000-0000-00002F090000}"/>
    <cellStyle name="Normal 2 154" xfId="2331" xr:uid="{00000000-0005-0000-0000-000030090000}"/>
    <cellStyle name="Normal 2 154 2" xfId="2332" xr:uid="{00000000-0005-0000-0000-000031090000}"/>
    <cellStyle name="Normal 2 154 2 2" xfId="2333" xr:uid="{00000000-0005-0000-0000-000032090000}"/>
    <cellStyle name="Normal 2 155" xfId="2334" xr:uid="{00000000-0005-0000-0000-000033090000}"/>
    <cellStyle name="Normal 2 155 2" xfId="2335" xr:uid="{00000000-0005-0000-0000-000034090000}"/>
    <cellStyle name="Normal 2 155 2 2" xfId="2336" xr:uid="{00000000-0005-0000-0000-000035090000}"/>
    <cellStyle name="Normal 2 156" xfId="2337" xr:uid="{00000000-0005-0000-0000-000036090000}"/>
    <cellStyle name="Normal 2 156 2" xfId="2338" xr:uid="{00000000-0005-0000-0000-000037090000}"/>
    <cellStyle name="Normal 2 156 2 2" xfId="2339" xr:uid="{00000000-0005-0000-0000-000038090000}"/>
    <cellStyle name="Normal 2 157" xfId="2340" xr:uid="{00000000-0005-0000-0000-000039090000}"/>
    <cellStyle name="Normal 2 157 2" xfId="2341" xr:uid="{00000000-0005-0000-0000-00003A090000}"/>
    <cellStyle name="Normal 2 157 2 2" xfId="2342" xr:uid="{00000000-0005-0000-0000-00003B090000}"/>
    <cellStyle name="Normal 2 158" xfId="2343" xr:uid="{00000000-0005-0000-0000-00003C090000}"/>
    <cellStyle name="Normal 2 158 2" xfId="2344" xr:uid="{00000000-0005-0000-0000-00003D090000}"/>
    <cellStyle name="Normal 2 158 2 2" xfId="2345" xr:uid="{00000000-0005-0000-0000-00003E090000}"/>
    <cellStyle name="Normal 2 159" xfId="2346" xr:uid="{00000000-0005-0000-0000-00003F090000}"/>
    <cellStyle name="Normal 2 159 2" xfId="2347" xr:uid="{00000000-0005-0000-0000-000040090000}"/>
    <cellStyle name="Normal 2 159 2 2" xfId="2348" xr:uid="{00000000-0005-0000-0000-000041090000}"/>
    <cellStyle name="Normal 2 16" xfId="2349" xr:uid="{00000000-0005-0000-0000-000042090000}"/>
    <cellStyle name="Normal 2 16 2" xfId="2350" xr:uid="{00000000-0005-0000-0000-000043090000}"/>
    <cellStyle name="Normal 2 16 2 2" xfId="2351" xr:uid="{00000000-0005-0000-0000-000044090000}"/>
    <cellStyle name="Normal 2 160" xfId="2352" xr:uid="{00000000-0005-0000-0000-000045090000}"/>
    <cellStyle name="Normal 2 160 2" xfId="2353" xr:uid="{00000000-0005-0000-0000-000046090000}"/>
    <cellStyle name="Normal 2 160 2 2" xfId="2354" xr:uid="{00000000-0005-0000-0000-000047090000}"/>
    <cellStyle name="Normal 2 161" xfId="2355" xr:uid="{00000000-0005-0000-0000-000048090000}"/>
    <cellStyle name="Normal 2 161 2" xfId="2356" xr:uid="{00000000-0005-0000-0000-000049090000}"/>
    <cellStyle name="Normal 2 161 2 2" xfId="2357" xr:uid="{00000000-0005-0000-0000-00004A090000}"/>
    <cellStyle name="Normal 2 162" xfId="2358" xr:uid="{00000000-0005-0000-0000-00004B090000}"/>
    <cellStyle name="Normal 2 162 2" xfId="2359" xr:uid="{00000000-0005-0000-0000-00004C090000}"/>
    <cellStyle name="Normal 2 162 2 2" xfId="2360" xr:uid="{00000000-0005-0000-0000-00004D090000}"/>
    <cellStyle name="Normal 2 163" xfId="2361" xr:uid="{00000000-0005-0000-0000-00004E090000}"/>
    <cellStyle name="Normal 2 163 2" xfId="2362" xr:uid="{00000000-0005-0000-0000-00004F090000}"/>
    <cellStyle name="Normal 2 163 2 2" xfId="2363" xr:uid="{00000000-0005-0000-0000-000050090000}"/>
    <cellStyle name="Normal 2 164" xfId="2364" xr:uid="{00000000-0005-0000-0000-000051090000}"/>
    <cellStyle name="Normal 2 164 2" xfId="2365" xr:uid="{00000000-0005-0000-0000-000052090000}"/>
    <cellStyle name="Normal 2 164 2 2" xfId="2366" xr:uid="{00000000-0005-0000-0000-000053090000}"/>
    <cellStyle name="Normal 2 165" xfId="2367" xr:uid="{00000000-0005-0000-0000-000054090000}"/>
    <cellStyle name="Normal 2 165 2" xfId="2368" xr:uid="{00000000-0005-0000-0000-000055090000}"/>
    <cellStyle name="Normal 2 165 2 2" xfId="2369" xr:uid="{00000000-0005-0000-0000-000056090000}"/>
    <cellStyle name="Normal 2 166" xfId="2370" xr:uid="{00000000-0005-0000-0000-000057090000}"/>
    <cellStyle name="Normal 2 166 2" xfId="2371" xr:uid="{00000000-0005-0000-0000-000058090000}"/>
    <cellStyle name="Normal 2 166 2 2" xfId="2372" xr:uid="{00000000-0005-0000-0000-000059090000}"/>
    <cellStyle name="Normal 2 167" xfId="2373" xr:uid="{00000000-0005-0000-0000-00005A090000}"/>
    <cellStyle name="Normal 2 167 2" xfId="2374" xr:uid="{00000000-0005-0000-0000-00005B090000}"/>
    <cellStyle name="Normal 2 167 2 2" xfId="2375" xr:uid="{00000000-0005-0000-0000-00005C090000}"/>
    <cellStyle name="Normal 2 168" xfId="2376" xr:uid="{00000000-0005-0000-0000-00005D090000}"/>
    <cellStyle name="Normal 2 168 2" xfId="2377" xr:uid="{00000000-0005-0000-0000-00005E090000}"/>
    <cellStyle name="Normal 2 168 2 2" xfId="2378" xr:uid="{00000000-0005-0000-0000-00005F090000}"/>
    <cellStyle name="Normal 2 169" xfId="2379" xr:uid="{00000000-0005-0000-0000-000060090000}"/>
    <cellStyle name="Normal 2 169 2" xfId="2380" xr:uid="{00000000-0005-0000-0000-000061090000}"/>
    <cellStyle name="Normal 2 169 2 2" xfId="2381" xr:uid="{00000000-0005-0000-0000-000062090000}"/>
    <cellStyle name="Normal 2 17" xfId="2382" xr:uid="{00000000-0005-0000-0000-000063090000}"/>
    <cellStyle name="Normal 2 17 2" xfId="2383" xr:uid="{00000000-0005-0000-0000-000064090000}"/>
    <cellStyle name="Normal 2 17 2 2" xfId="2384" xr:uid="{00000000-0005-0000-0000-000065090000}"/>
    <cellStyle name="Normal 2 170" xfId="2385" xr:uid="{00000000-0005-0000-0000-000066090000}"/>
    <cellStyle name="Normal 2 170 2" xfId="2386" xr:uid="{00000000-0005-0000-0000-000067090000}"/>
    <cellStyle name="Normal 2 170 2 2" xfId="2387" xr:uid="{00000000-0005-0000-0000-000068090000}"/>
    <cellStyle name="Normal 2 171" xfId="2388" xr:uid="{00000000-0005-0000-0000-000069090000}"/>
    <cellStyle name="Normal 2 171 2" xfId="2389" xr:uid="{00000000-0005-0000-0000-00006A090000}"/>
    <cellStyle name="Normal 2 171 2 2" xfId="2390" xr:uid="{00000000-0005-0000-0000-00006B090000}"/>
    <cellStyle name="Normal 2 172" xfId="2391" xr:uid="{00000000-0005-0000-0000-00006C090000}"/>
    <cellStyle name="Normal 2 172 2" xfId="2392" xr:uid="{00000000-0005-0000-0000-00006D090000}"/>
    <cellStyle name="Normal 2 172 2 2" xfId="2393" xr:uid="{00000000-0005-0000-0000-00006E090000}"/>
    <cellStyle name="Normal 2 173" xfId="2394" xr:uid="{00000000-0005-0000-0000-00006F090000}"/>
    <cellStyle name="Normal 2 173 2" xfId="2395" xr:uid="{00000000-0005-0000-0000-000070090000}"/>
    <cellStyle name="Normal 2 173 2 2" xfId="2396" xr:uid="{00000000-0005-0000-0000-000071090000}"/>
    <cellStyle name="Normal 2 174" xfId="2397" xr:uid="{00000000-0005-0000-0000-000072090000}"/>
    <cellStyle name="Normal 2 174 2" xfId="2398" xr:uid="{00000000-0005-0000-0000-000073090000}"/>
    <cellStyle name="Normal 2 174 2 2" xfId="2399" xr:uid="{00000000-0005-0000-0000-000074090000}"/>
    <cellStyle name="Normal 2 175" xfId="2400" xr:uid="{00000000-0005-0000-0000-000075090000}"/>
    <cellStyle name="Normal 2 175 2" xfId="2401" xr:uid="{00000000-0005-0000-0000-000076090000}"/>
    <cellStyle name="Normal 2 175 2 2" xfId="2402" xr:uid="{00000000-0005-0000-0000-000077090000}"/>
    <cellStyle name="Normal 2 176" xfId="2403" xr:uid="{00000000-0005-0000-0000-000078090000}"/>
    <cellStyle name="Normal 2 176 2" xfId="2404" xr:uid="{00000000-0005-0000-0000-000079090000}"/>
    <cellStyle name="Normal 2 176 2 2" xfId="2405" xr:uid="{00000000-0005-0000-0000-00007A090000}"/>
    <cellStyle name="Normal 2 177" xfId="2406" xr:uid="{00000000-0005-0000-0000-00007B090000}"/>
    <cellStyle name="Normal 2 177 2" xfId="2407" xr:uid="{00000000-0005-0000-0000-00007C090000}"/>
    <cellStyle name="Normal 2 177 2 2" xfId="2408" xr:uid="{00000000-0005-0000-0000-00007D090000}"/>
    <cellStyle name="Normal 2 178" xfId="2409" xr:uid="{00000000-0005-0000-0000-00007E090000}"/>
    <cellStyle name="Normal 2 178 2" xfId="2410" xr:uid="{00000000-0005-0000-0000-00007F090000}"/>
    <cellStyle name="Normal 2 178 2 2" xfId="2411" xr:uid="{00000000-0005-0000-0000-000080090000}"/>
    <cellStyle name="Normal 2 179" xfId="2412" xr:uid="{00000000-0005-0000-0000-000081090000}"/>
    <cellStyle name="Normal 2 179 2" xfId="2413" xr:uid="{00000000-0005-0000-0000-000082090000}"/>
    <cellStyle name="Normal 2 179 2 2" xfId="2414" xr:uid="{00000000-0005-0000-0000-000083090000}"/>
    <cellStyle name="Normal 2 18" xfId="2415" xr:uid="{00000000-0005-0000-0000-000084090000}"/>
    <cellStyle name="Normal 2 18 2" xfId="2416" xr:uid="{00000000-0005-0000-0000-000085090000}"/>
    <cellStyle name="Normal 2 18 2 2" xfId="2417" xr:uid="{00000000-0005-0000-0000-000086090000}"/>
    <cellStyle name="Normal 2 180" xfId="2418" xr:uid="{00000000-0005-0000-0000-000087090000}"/>
    <cellStyle name="Normal 2 180 2" xfId="2419" xr:uid="{00000000-0005-0000-0000-000088090000}"/>
    <cellStyle name="Normal 2 180 2 2" xfId="2420" xr:uid="{00000000-0005-0000-0000-000089090000}"/>
    <cellStyle name="Normal 2 181" xfId="2421" xr:uid="{00000000-0005-0000-0000-00008A090000}"/>
    <cellStyle name="Normal 2 181 2" xfId="2422" xr:uid="{00000000-0005-0000-0000-00008B090000}"/>
    <cellStyle name="Normal 2 181 2 2" xfId="2423" xr:uid="{00000000-0005-0000-0000-00008C090000}"/>
    <cellStyle name="Normal 2 182" xfId="2424" xr:uid="{00000000-0005-0000-0000-00008D090000}"/>
    <cellStyle name="Normal 2 182 2" xfId="2425" xr:uid="{00000000-0005-0000-0000-00008E090000}"/>
    <cellStyle name="Normal 2 182 2 2" xfId="2426" xr:uid="{00000000-0005-0000-0000-00008F090000}"/>
    <cellStyle name="Normal 2 183" xfId="2427" xr:uid="{00000000-0005-0000-0000-000090090000}"/>
    <cellStyle name="Normal 2 183 2" xfId="2428" xr:uid="{00000000-0005-0000-0000-000091090000}"/>
    <cellStyle name="Normal 2 183 2 2" xfId="2429" xr:uid="{00000000-0005-0000-0000-000092090000}"/>
    <cellStyle name="Normal 2 184" xfId="2430" xr:uid="{00000000-0005-0000-0000-000093090000}"/>
    <cellStyle name="Normal 2 184 2" xfId="2431" xr:uid="{00000000-0005-0000-0000-000094090000}"/>
    <cellStyle name="Normal 2 184 2 2" xfId="2432" xr:uid="{00000000-0005-0000-0000-000095090000}"/>
    <cellStyle name="Normal 2 185" xfId="2433" xr:uid="{00000000-0005-0000-0000-000096090000}"/>
    <cellStyle name="Normal 2 185 2" xfId="2434" xr:uid="{00000000-0005-0000-0000-000097090000}"/>
    <cellStyle name="Normal 2 185 2 2" xfId="2435" xr:uid="{00000000-0005-0000-0000-000098090000}"/>
    <cellStyle name="Normal 2 186" xfId="2436" xr:uid="{00000000-0005-0000-0000-000099090000}"/>
    <cellStyle name="Normal 2 186 2" xfId="2437" xr:uid="{00000000-0005-0000-0000-00009A090000}"/>
    <cellStyle name="Normal 2 186 2 2" xfId="2438" xr:uid="{00000000-0005-0000-0000-00009B090000}"/>
    <cellStyle name="Normal 2 187" xfId="2439" xr:uid="{00000000-0005-0000-0000-00009C090000}"/>
    <cellStyle name="Normal 2 187 2" xfId="2440" xr:uid="{00000000-0005-0000-0000-00009D090000}"/>
    <cellStyle name="Normal 2 187 2 2" xfId="2441" xr:uid="{00000000-0005-0000-0000-00009E090000}"/>
    <cellStyle name="Normal 2 188" xfId="2442" xr:uid="{00000000-0005-0000-0000-00009F090000}"/>
    <cellStyle name="Normal 2 188 2" xfId="2443" xr:uid="{00000000-0005-0000-0000-0000A0090000}"/>
    <cellStyle name="Normal 2 188 2 2" xfId="2444" xr:uid="{00000000-0005-0000-0000-0000A1090000}"/>
    <cellStyle name="Normal 2 189" xfId="2445" xr:uid="{00000000-0005-0000-0000-0000A2090000}"/>
    <cellStyle name="Normal 2 189 2" xfId="2446" xr:uid="{00000000-0005-0000-0000-0000A3090000}"/>
    <cellStyle name="Normal 2 189 2 2" xfId="2447" xr:uid="{00000000-0005-0000-0000-0000A4090000}"/>
    <cellStyle name="Normal 2 19" xfId="2448" xr:uid="{00000000-0005-0000-0000-0000A5090000}"/>
    <cellStyle name="Normal 2 19 2" xfId="2449" xr:uid="{00000000-0005-0000-0000-0000A6090000}"/>
    <cellStyle name="Normal 2 19 2 2" xfId="2450" xr:uid="{00000000-0005-0000-0000-0000A7090000}"/>
    <cellStyle name="Normal 2 190" xfId="2451" xr:uid="{00000000-0005-0000-0000-0000A8090000}"/>
    <cellStyle name="Normal 2 190 2" xfId="2452" xr:uid="{00000000-0005-0000-0000-0000A9090000}"/>
    <cellStyle name="Normal 2 190 2 2" xfId="2453" xr:uid="{00000000-0005-0000-0000-0000AA090000}"/>
    <cellStyle name="Normal 2 191" xfId="2454" xr:uid="{00000000-0005-0000-0000-0000AB090000}"/>
    <cellStyle name="Normal 2 191 2" xfId="2455" xr:uid="{00000000-0005-0000-0000-0000AC090000}"/>
    <cellStyle name="Normal 2 191 2 2" xfId="2456" xr:uid="{00000000-0005-0000-0000-0000AD090000}"/>
    <cellStyle name="Normal 2 192" xfId="2457" xr:uid="{00000000-0005-0000-0000-0000AE090000}"/>
    <cellStyle name="Normal 2 192 2" xfId="2458" xr:uid="{00000000-0005-0000-0000-0000AF090000}"/>
    <cellStyle name="Normal 2 192 2 2" xfId="2459" xr:uid="{00000000-0005-0000-0000-0000B0090000}"/>
    <cellStyle name="Normal 2 193" xfId="2460" xr:uid="{00000000-0005-0000-0000-0000B1090000}"/>
    <cellStyle name="Normal 2 193 2" xfId="2461" xr:uid="{00000000-0005-0000-0000-0000B2090000}"/>
    <cellStyle name="Normal 2 193 2 2" xfId="2462" xr:uid="{00000000-0005-0000-0000-0000B3090000}"/>
    <cellStyle name="Normal 2 194" xfId="2463" xr:uid="{00000000-0005-0000-0000-0000B4090000}"/>
    <cellStyle name="Normal 2 194 2" xfId="2464" xr:uid="{00000000-0005-0000-0000-0000B5090000}"/>
    <cellStyle name="Normal 2 194 2 2" xfId="2465" xr:uid="{00000000-0005-0000-0000-0000B6090000}"/>
    <cellStyle name="Normal 2 195" xfId="2466" xr:uid="{00000000-0005-0000-0000-0000B7090000}"/>
    <cellStyle name="Normal 2 195 2" xfId="2467" xr:uid="{00000000-0005-0000-0000-0000B8090000}"/>
    <cellStyle name="Normal 2 195 2 2" xfId="2468" xr:uid="{00000000-0005-0000-0000-0000B9090000}"/>
    <cellStyle name="Normal 2 196" xfId="2469" xr:uid="{00000000-0005-0000-0000-0000BA090000}"/>
    <cellStyle name="Normal 2 196 2" xfId="2470" xr:uid="{00000000-0005-0000-0000-0000BB090000}"/>
    <cellStyle name="Normal 2 196 2 2" xfId="2471" xr:uid="{00000000-0005-0000-0000-0000BC090000}"/>
    <cellStyle name="Normal 2 197" xfId="2472" xr:uid="{00000000-0005-0000-0000-0000BD090000}"/>
    <cellStyle name="Normal 2 197 2" xfId="2473" xr:uid="{00000000-0005-0000-0000-0000BE090000}"/>
    <cellStyle name="Normal 2 197 2 2" xfId="2474" xr:uid="{00000000-0005-0000-0000-0000BF090000}"/>
    <cellStyle name="Normal 2 198" xfId="2475" xr:uid="{00000000-0005-0000-0000-0000C0090000}"/>
    <cellStyle name="Normal 2 198 2" xfId="2476" xr:uid="{00000000-0005-0000-0000-0000C1090000}"/>
    <cellStyle name="Normal 2 198 2 2" xfId="2477" xr:uid="{00000000-0005-0000-0000-0000C2090000}"/>
    <cellStyle name="Normal 2 199" xfId="2478" xr:uid="{00000000-0005-0000-0000-0000C3090000}"/>
    <cellStyle name="Normal 2 199 2" xfId="2479" xr:uid="{00000000-0005-0000-0000-0000C4090000}"/>
    <cellStyle name="Normal 2 199 2 2" xfId="2480" xr:uid="{00000000-0005-0000-0000-0000C5090000}"/>
    <cellStyle name="Normal 2 2" xfId="12" xr:uid="{00000000-0005-0000-0000-0000C6090000}"/>
    <cellStyle name="Normal 2 2 2" xfId="2481" xr:uid="{00000000-0005-0000-0000-0000C7090000}"/>
    <cellStyle name="Normal 2 20" xfId="2482" xr:uid="{00000000-0005-0000-0000-0000C8090000}"/>
    <cellStyle name="Normal 2 20 2" xfId="2483" xr:uid="{00000000-0005-0000-0000-0000C9090000}"/>
    <cellStyle name="Normal 2 20 2 2" xfId="2484" xr:uid="{00000000-0005-0000-0000-0000CA090000}"/>
    <cellStyle name="Normal 2 200" xfId="2485" xr:uid="{00000000-0005-0000-0000-0000CB090000}"/>
    <cellStyle name="Normal 2 200 2" xfId="2486" xr:uid="{00000000-0005-0000-0000-0000CC090000}"/>
    <cellStyle name="Normal 2 200 2 2" xfId="2487" xr:uid="{00000000-0005-0000-0000-0000CD090000}"/>
    <cellStyle name="Normal 2 201" xfId="2488" xr:uid="{00000000-0005-0000-0000-0000CE090000}"/>
    <cellStyle name="Normal 2 201 2" xfId="2489" xr:uid="{00000000-0005-0000-0000-0000CF090000}"/>
    <cellStyle name="Normal 2 201 2 2" xfId="2490" xr:uid="{00000000-0005-0000-0000-0000D0090000}"/>
    <cellStyle name="Normal 2 202" xfId="2491" xr:uid="{00000000-0005-0000-0000-0000D1090000}"/>
    <cellStyle name="Normal 2 202 2" xfId="2492" xr:uid="{00000000-0005-0000-0000-0000D2090000}"/>
    <cellStyle name="Normal 2 202 2 2" xfId="2493" xr:uid="{00000000-0005-0000-0000-0000D3090000}"/>
    <cellStyle name="Normal 2 203" xfId="2494" xr:uid="{00000000-0005-0000-0000-0000D4090000}"/>
    <cellStyle name="Normal 2 203 2" xfId="2495" xr:uid="{00000000-0005-0000-0000-0000D5090000}"/>
    <cellStyle name="Normal 2 203 2 2" xfId="2496" xr:uid="{00000000-0005-0000-0000-0000D6090000}"/>
    <cellStyle name="Normal 2 204" xfId="2497" xr:uid="{00000000-0005-0000-0000-0000D7090000}"/>
    <cellStyle name="Normal 2 204 2" xfId="2498" xr:uid="{00000000-0005-0000-0000-0000D8090000}"/>
    <cellStyle name="Normal 2 204 2 2" xfId="2499" xr:uid="{00000000-0005-0000-0000-0000D9090000}"/>
    <cellStyle name="Normal 2 205" xfId="2500" xr:uid="{00000000-0005-0000-0000-0000DA090000}"/>
    <cellStyle name="Normal 2 205 2" xfId="2501" xr:uid="{00000000-0005-0000-0000-0000DB090000}"/>
    <cellStyle name="Normal 2 205 2 2" xfId="2502" xr:uid="{00000000-0005-0000-0000-0000DC090000}"/>
    <cellStyle name="Normal 2 206" xfId="2503" xr:uid="{00000000-0005-0000-0000-0000DD090000}"/>
    <cellStyle name="Normal 2 206 2" xfId="2504" xr:uid="{00000000-0005-0000-0000-0000DE090000}"/>
    <cellStyle name="Normal 2 206 2 2" xfId="2505" xr:uid="{00000000-0005-0000-0000-0000DF090000}"/>
    <cellStyle name="Normal 2 207" xfId="2506" xr:uid="{00000000-0005-0000-0000-0000E0090000}"/>
    <cellStyle name="Normal 2 207 2" xfId="2507" xr:uid="{00000000-0005-0000-0000-0000E1090000}"/>
    <cellStyle name="Normal 2 207 2 2" xfId="2508" xr:uid="{00000000-0005-0000-0000-0000E2090000}"/>
    <cellStyle name="Normal 2 208" xfId="2509" xr:uid="{00000000-0005-0000-0000-0000E3090000}"/>
    <cellStyle name="Normal 2 208 2" xfId="2510" xr:uid="{00000000-0005-0000-0000-0000E4090000}"/>
    <cellStyle name="Normal 2 208 2 2" xfId="2511" xr:uid="{00000000-0005-0000-0000-0000E5090000}"/>
    <cellStyle name="Normal 2 209" xfId="2512" xr:uid="{00000000-0005-0000-0000-0000E6090000}"/>
    <cellStyle name="Normal 2 209 2" xfId="2513" xr:uid="{00000000-0005-0000-0000-0000E7090000}"/>
    <cellStyle name="Normal 2 209 2 2" xfId="2514" xr:uid="{00000000-0005-0000-0000-0000E8090000}"/>
    <cellStyle name="Normal 2 21" xfId="2515" xr:uid="{00000000-0005-0000-0000-0000E9090000}"/>
    <cellStyle name="Normal 2 21 2" xfId="2516" xr:uid="{00000000-0005-0000-0000-0000EA090000}"/>
    <cellStyle name="Normal 2 21 2 2" xfId="2517" xr:uid="{00000000-0005-0000-0000-0000EB090000}"/>
    <cellStyle name="Normal 2 210" xfId="2518" xr:uid="{00000000-0005-0000-0000-0000EC090000}"/>
    <cellStyle name="Normal 2 210 2" xfId="2519" xr:uid="{00000000-0005-0000-0000-0000ED090000}"/>
    <cellStyle name="Normal 2 210 2 2" xfId="2520" xr:uid="{00000000-0005-0000-0000-0000EE090000}"/>
    <cellStyle name="Normal 2 211" xfId="2521" xr:uid="{00000000-0005-0000-0000-0000EF090000}"/>
    <cellStyle name="Normal 2 211 2" xfId="2522" xr:uid="{00000000-0005-0000-0000-0000F0090000}"/>
    <cellStyle name="Normal 2 211 2 2" xfId="2523" xr:uid="{00000000-0005-0000-0000-0000F1090000}"/>
    <cellStyle name="Normal 2 212" xfId="2524" xr:uid="{00000000-0005-0000-0000-0000F2090000}"/>
    <cellStyle name="Normal 2 212 2" xfId="2525" xr:uid="{00000000-0005-0000-0000-0000F3090000}"/>
    <cellStyle name="Normal 2 212 2 2" xfId="2526" xr:uid="{00000000-0005-0000-0000-0000F4090000}"/>
    <cellStyle name="Normal 2 213" xfId="2527" xr:uid="{00000000-0005-0000-0000-0000F5090000}"/>
    <cellStyle name="Normal 2 213 2" xfId="2528" xr:uid="{00000000-0005-0000-0000-0000F6090000}"/>
    <cellStyle name="Normal 2 213 2 2" xfId="2529" xr:uid="{00000000-0005-0000-0000-0000F7090000}"/>
    <cellStyle name="Normal 2 214" xfId="2530" xr:uid="{00000000-0005-0000-0000-0000F8090000}"/>
    <cellStyle name="Normal 2 214 2" xfId="2531" xr:uid="{00000000-0005-0000-0000-0000F9090000}"/>
    <cellStyle name="Normal 2 214 2 2" xfId="2532" xr:uid="{00000000-0005-0000-0000-0000FA090000}"/>
    <cellStyle name="Normal 2 215" xfId="2533" xr:uid="{00000000-0005-0000-0000-0000FB090000}"/>
    <cellStyle name="Normal 2 215 2" xfId="2534" xr:uid="{00000000-0005-0000-0000-0000FC090000}"/>
    <cellStyle name="Normal 2 215 2 2" xfId="2535" xr:uid="{00000000-0005-0000-0000-0000FD090000}"/>
    <cellStyle name="Normal 2 216" xfId="2536" xr:uid="{00000000-0005-0000-0000-0000FE090000}"/>
    <cellStyle name="Normal 2 216 2" xfId="2537" xr:uid="{00000000-0005-0000-0000-0000FF090000}"/>
    <cellStyle name="Normal 2 216 2 2" xfId="2538" xr:uid="{00000000-0005-0000-0000-0000000A0000}"/>
    <cellStyle name="Normal 2 217" xfId="2539" xr:uid="{00000000-0005-0000-0000-0000010A0000}"/>
    <cellStyle name="Normal 2 217 2" xfId="2540" xr:uid="{00000000-0005-0000-0000-0000020A0000}"/>
    <cellStyle name="Normal 2 217 2 2" xfId="2541" xr:uid="{00000000-0005-0000-0000-0000030A0000}"/>
    <cellStyle name="Normal 2 218" xfId="2542" xr:uid="{00000000-0005-0000-0000-0000040A0000}"/>
    <cellStyle name="Normal 2 218 2" xfId="2543" xr:uid="{00000000-0005-0000-0000-0000050A0000}"/>
    <cellStyle name="Normal 2 218 2 2" xfId="2544" xr:uid="{00000000-0005-0000-0000-0000060A0000}"/>
    <cellStyle name="Normal 2 219" xfId="2545" xr:uid="{00000000-0005-0000-0000-0000070A0000}"/>
    <cellStyle name="Normal 2 219 2" xfId="2546" xr:uid="{00000000-0005-0000-0000-0000080A0000}"/>
    <cellStyle name="Normal 2 219 2 2" xfId="2547" xr:uid="{00000000-0005-0000-0000-0000090A0000}"/>
    <cellStyle name="Normal 2 22" xfId="2548" xr:uid="{00000000-0005-0000-0000-00000A0A0000}"/>
    <cellStyle name="Normal 2 22 2" xfId="2549" xr:uid="{00000000-0005-0000-0000-00000B0A0000}"/>
    <cellStyle name="Normal 2 22 2 2" xfId="2550" xr:uid="{00000000-0005-0000-0000-00000C0A0000}"/>
    <cellStyle name="Normal 2 220" xfId="2551" xr:uid="{00000000-0005-0000-0000-00000D0A0000}"/>
    <cellStyle name="Normal 2 220 2" xfId="2552" xr:uid="{00000000-0005-0000-0000-00000E0A0000}"/>
    <cellStyle name="Normal 2 220 2 2" xfId="2553" xr:uid="{00000000-0005-0000-0000-00000F0A0000}"/>
    <cellStyle name="Normal 2 221" xfId="2554" xr:uid="{00000000-0005-0000-0000-0000100A0000}"/>
    <cellStyle name="Normal 2 221 2" xfId="2555" xr:uid="{00000000-0005-0000-0000-0000110A0000}"/>
    <cellStyle name="Normal 2 221 2 2" xfId="2556" xr:uid="{00000000-0005-0000-0000-0000120A0000}"/>
    <cellStyle name="Normal 2 222" xfId="2557" xr:uid="{00000000-0005-0000-0000-0000130A0000}"/>
    <cellStyle name="Normal 2 222 2" xfId="2558" xr:uid="{00000000-0005-0000-0000-0000140A0000}"/>
    <cellStyle name="Normal 2 222 2 2" xfId="2559" xr:uid="{00000000-0005-0000-0000-0000150A0000}"/>
    <cellStyle name="Normal 2 223" xfId="2560" xr:uid="{00000000-0005-0000-0000-0000160A0000}"/>
    <cellStyle name="Normal 2 223 2" xfId="2561" xr:uid="{00000000-0005-0000-0000-0000170A0000}"/>
    <cellStyle name="Normal 2 223 2 2" xfId="2562" xr:uid="{00000000-0005-0000-0000-0000180A0000}"/>
    <cellStyle name="Normal 2 224" xfId="2563" xr:uid="{00000000-0005-0000-0000-0000190A0000}"/>
    <cellStyle name="Normal 2 224 2" xfId="2564" xr:uid="{00000000-0005-0000-0000-00001A0A0000}"/>
    <cellStyle name="Normal 2 224 2 2" xfId="2565" xr:uid="{00000000-0005-0000-0000-00001B0A0000}"/>
    <cellStyle name="Normal 2 225" xfId="2566" xr:uid="{00000000-0005-0000-0000-00001C0A0000}"/>
    <cellStyle name="Normal 2 225 2" xfId="2567" xr:uid="{00000000-0005-0000-0000-00001D0A0000}"/>
    <cellStyle name="Normal 2 225 2 2" xfId="2568" xr:uid="{00000000-0005-0000-0000-00001E0A0000}"/>
    <cellStyle name="Normal 2 226" xfId="2569" xr:uid="{00000000-0005-0000-0000-00001F0A0000}"/>
    <cellStyle name="Normal 2 226 2" xfId="2570" xr:uid="{00000000-0005-0000-0000-0000200A0000}"/>
    <cellStyle name="Normal 2 226 2 2" xfId="2571" xr:uid="{00000000-0005-0000-0000-0000210A0000}"/>
    <cellStyle name="Normal 2 227" xfId="2572" xr:uid="{00000000-0005-0000-0000-0000220A0000}"/>
    <cellStyle name="Normal 2 227 2" xfId="2573" xr:uid="{00000000-0005-0000-0000-0000230A0000}"/>
    <cellStyle name="Normal 2 227 2 2" xfId="2574" xr:uid="{00000000-0005-0000-0000-0000240A0000}"/>
    <cellStyle name="Normal 2 228" xfId="2575" xr:uid="{00000000-0005-0000-0000-0000250A0000}"/>
    <cellStyle name="Normal 2 228 2" xfId="2576" xr:uid="{00000000-0005-0000-0000-0000260A0000}"/>
    <cellStyle name="Normal 2 228 2 2" xfId="2577" xr:uid="{00000000-0005-0000-0000-0000270A0000}"/>
    <cellStyle name="Normal 2 229" xfId="2578" xr:uid="{00000000-0005-0000-0000-0000280A0000}"/>
    <cellStyle name="Normal 2 229 2" xfId="2579" xr:uid="{00000000-0005-0000-0000-0000290A0000}"/>
    <cellStyle name="Normal 2 229 2 2" xfId="2580" xr:uid="{00000000-0005-0000-0000-00002A0A0000}"/>
    <cellStyle name="Normal 2 23" xfId="2581" xr:uid="{00000000-0005-0000-0000-00002B0A0000}"/>
    <cellStyle name="Normal 2 23 2" xfId="2582" xr:uid="{00000000-0005-0000-0000-00002C0A0000}"/>
    <cellStyle name="Normal 2 23 2 2" xfId="2583" xr:uid="{00000000-0005-0000-0000-00002D0A0000}"/>
    <cellStyle name="Normal 2 230" xfId="2584" xr:uid="{00000000-0005-0000-0000-00002E0A0000}"/>
    <cellStyle name="Normal 2 230 2" xfId="2585" xr:uid="{00000000-0005-0000-0000-00002F0A0000}"/>
    <cellStyle name="Normal 2 230 2 2" xfId="2586" xr:uid="{00000000-0005-0000-0000-0000300A0000}"/>
    <cellStyle name="Normal 2 231" xfId="2587" xr:uid="{00000000-0005-0000-0000-0000310A0000}"/>
    <cellStyle name="Normal 2 231 2" xfId="2588" xr:uid="{00000000-0005-0000-0000-0000320A0000}"/>
    <cellStyle name="Normal 2 231 2 2" xfId="2589" xr:uid="{00000000-0005-0000-0000-0000330A0000}"/>
    <cellStyle name="Normal 2 232" xfId="2590" xr:uid="{00000000-0005-0000-0000-0000340A0000}"/>
    <cellStyle name="Normal 2 232 2" xfId="2591" xr:uid="{00000000-0005-0000-0000-0000350A0000}"/>
    <cellStyle name="Normal 2 232 2 2" xfId="2592" xr:uid="{00000000-0005-0000-0000-0000360A0000}"/>
    <cellStyle name="Normal 2 233" xfId="2593" xr:uid="{00000000-0005-0000-0000-0000370A0000}"/>
    <cellStyle name="Normal 2 233 2" xfId="2594" xr:uid="{00000000-0005-0000-0000-0000380A0000}"/>
    <cellStyle name="Normal 2 233 2 2" xfId="2595" xr:uid="{00000000-0005-0000-0000-0000390A0000}"/>
    <cellStyle name="Normal 2 234" xfId="2596" xr:uid="{00000000-0005-0000-0000-00003A0A0000}"/>
    <cellStyle name="Normal 2 234 2" xfId="2597" xr:uid="{00000000-0005-0000-0000-00003B0A0000}"/>
    <cellStyle name="Normal 2 234 2 2" xfId="2598" xr:uid="{00000000-0005-0000-0000-00003C0A0000}"/>
    <cellStyle name="Normal 2 235" xfId="2599" xr:uid="{00000000-0005-0000-0000-00003D0A0000}"/>
    <cellStyle name="Normal 2 235 2" xfId="2600" xr:uid="{00000000-0005-0000-0000-00003E0A0000}"/>
    <cellStyle name="Normal 2 235 2 2" xfId="2601" xr:uid="{00000000-0005-0000-0000-00003F0A0000}"/>
    <cellStyle name="Normal 2 236" xfId="2602" xr:uid="{00000000-0005-0000-0000-0000400A0000}"/>
    <cellStyle name="Normal 2 236 2" xfId="2603" xr:uid="{00000000-0005-0000-0000-0000410A0000}"/>
    <cellStyle name="Normal 2 236 2 2" xfId="2604" xr:uid="{00000000-0005-0000-0000-0000420A0000}"/>
    <cellStyle name="Normal 2 237" xfId="2605" xr:uid="{00000000-0005-0000-0000-0000430A0000}"/>
    <cellStyle name="Normal 2 237 2" xfId="2606" xr:uid="{00000000-0005-0000-0000-0000440A0000}"/>
    <cellStyle name="Normal 2 237 2 2" xfId="2607" xr:uid="{00000000-0005-0000-0000-0000450A0000}"/>
    <cellStyle name="Normal 2 238" xfId="2608" xr:uid="{00000000-0005-0000-0000-0000460A0000}"/>
    <cellStyle name="Normal 2 238 2" xfId="2609" xr:uid="{00000000-0005-0000-0000-0000470A0000}"/>
    <cellStyle name="Normal 2 238 2 2" xfId="2610" xr:uid="{00000000-0005-0000-0000-0000480A0000}"/>
    <cellStyle name="Normal 2 239" xfId="2611" xr:uid="{00000000-0005-0000-0000-0000490A0000}"/>
    <cellStyle name="Normal 2 239 2" xfId="2612" xr:uid="{00000000-0005-0000-0000-00004A0A0000}"/>
    <cellStyle name="Normal 2 239 2 2" xfId="2613" xr:uid="{00000000-0005-0000-0000-00004B0A0000}"/>
    <cellStyle name="Normal 2 24" xfId="2614" xr:uid="{00000000-0005-0000-0000-00004C0A0000}"/>
    <cellStyle name="Normal 2 24 2" xfId="2615" xr:uid="{00000000-0005-0000-0000-00004D0A0000}"/>
    <cellStyle name="Normal 2 24 2 2" xfId="2616" xr:uid="{00000000-0005-0000-0000-00004E0A0000}"/>
    <cellStyle name="Normal 2 240" xfId="2617" xr:uid="{00000000-0005-0000-0000-00004F0A0000}"/>
    <cellStyle name="Normal 2 240 2" xfId="2618" xr:uid="{00000000-0005-0000-0000-0000500A0000}"/>
    <cellStyle name="Normal 2 240 2 2" xfId="2619" xr:uid="{00000000-0005-0000-0000-0000510A0000}"/>
    <cellStyle name="Normal 2 241" xfId="2620" xr:uid="{00000000-0005-0000-0000-0000520A0000}"/>
    <cellStyle name="Normal 2 241 2" xfId="2621" xr:uid="{00000000-0005-0000-0000-0000530A0000}"/>
    <cellStyle name="Normal 2 241 2 2" xfId="2622" xr:uid="{00000000-0005-0000-0000-0000540A0000}"/>
    <cellStyle name="Normal 2 242" xfId="2623" xr:uid="{00000000-0005-0000-0000-0000550A0000}"/>
    <cellStyle name="Normal 2 242 2" xfId="2624" xr:uid="{00000000-0005-0000-0000-0000560A0000}"/>
    <cellStyle name="Normal 2 242 2 2" xfId="2625" xr:uid="{00000000-0005-0000-0000-0000570A0000}"/>
    <cellStyle name="Normal 2 243" xfId="2626" xr:uid="{00000000-0005-0000-0000-0000580A0000}"/>
    <cellStyle name="Normal 2 243 2" xfId="2627" xr:uid="{00000000-0005-0000-0000-0000590A0000}"/>
    <cellStyle name="Normal 2 243 2 2" xfId="2628" xr:uid="{00000000-0005-0000-0000-00005A0A0000}"/>
    <cellStyle name="Normal 2 244" xfId="2629" xr:uid="{00000000-0005-0000-0000-00005B0A0000}"/>
    <cellStyle name="Normal 2 244 2" xfId="2630" xr:uid="{00000000-0005-0000-0000-00005C0A0000}"/>
    <cellStyle name="Normal 2 244 2 2" xfId="2631" xr:uid="{00000000-0005-0000-0000-00005D0A0000}"/>
    <cellStyle name="Normal 2 245" xfId="2632" xr:uid="{00000000-0005-0000-0000-00005E0A0000}"/>
    <cellStyle name="Normal 2 245 2" xfId="2633" xr:uid="{00000000-0005-0000-0000-00005F0A0000}"/>
    <cellStyle name="Normal 2 245 2 2" xfId="2634" xr:uid="{00000000-0005-0000-0000-0000600A0000}"/>
    <cellStyle name="Normal 2 246" xfId="2635" xr:uid="{00000000-0005-0000-0000-0000610A0000}"/>
    <cellStyle name="Normal 2 246 2" xfId="2636" xr:uid="{00000000-0005-0000-0000-0000620A0000}"/>
    <cellStyle name="Normal 2 246 2 2" xfId="2637" xr:uid="{00000000-0005-0000-0000-0000630A0000}"/>
    <cellStyle name="Normal 2 247" xfId="2638" xr:uid="{00000000-0005-0000-0000-0000640A0000}"/>
    <cellStyle name="Normal 2 247 2" xfId="2639" xr:uid="{00000000-0005-0000-0000-0000650A0000}"/>
    <cellStyle name="Normal 2 247 2 2" xfId="2640" xr:uid="{00000000-0005-0000-0000-0000660A0000}"/>
    <cellStyle name="Normal 2 248" xfId="2641" xr:uid="{00000000-0005-0000-0000-0000670A0000}"/>
    <cellStyle name="Normal 2 248 2" xfId="2642" xr:uid="{00000000-0005-0000-0000-0000680A0000}"/>
    <cellStyle name="Normal 2 248 2 2" xfId="2643" xr:uid="{00000000-0005-0000-0000-0000690A0000}"/>
    <cellStyle name="Normal 2 249" xfId="2644" xr:uid="{00000000-0005-0000-0000-00006A0A0000}"/>
    <cellStyle name="Normal 2 249 2" xfId="2645" xr:uid="{00000000-0005-0000-0000-00006B0A0000}"/>
    <cellStyle name="Normal 2 249 2 2" xfId="2646" xr:uid="{00000000-0005-0000-0000-00006C0A0000}"/>
    <cellStyle name="Normal 2 25" xfId="2647" xr:uid="{00000000-0005-0000-0000-00006D0A0000}"/>
    <cellStyle name="Normal 2 25 2" xfId="2648" xr:uid="{00000000-0005-0000-0000-00006E0A0000}"/>
    <cellStyle name="Normal 2 25 2 2" xfId="2649" xr:uid="{00000000-0005-0000-0000-00006F0A0000}"/>
    <cellStyle name="Normal 2 250" xfId="2650" xr:uid="{00000000-0005-0000-0000-0000700A0000}"/>
    <cellStyle name="Normal 2 250 2" xfId="2651" xr:uid="{00000000-0005-0000-0000-0000710A0000}"/>
    <cellStyle name="Normal 2 250 2 2" xfId="2652" xr:uid="{00000000-0005-0000-0000-0000720A0000}"/>
    <cellStyle name="Normal 2 251" xfId="2653" xr:uid="{00000000-0005-0000-0000-0000730A0000}"/>
    <cellStyle name="Normal 2 251 2" xfId="2654" xr:uid="{00000000-0005-0000-0000-0000740A0000}"/>
    <cellStyle name="Normal 2 251 2 2" xfId="2655" xr:uid="{00000000-0005-0000-0000-0000750A0000}"/>
    <cellStyle name="Normal 2 252" xfId="2656" xr:uid="{00000000-0005-0000-0000-0000760A0000}"/>
    <cellStyle name="Normal 2 252 2" xfId="2657" xr:uid="{00000000-0005-0000-0000-0000770A0000}"/>
    <cellStyle name="Normal 2 252 2 2" xfId="2658" xr:uid="{00000000-0005-0000-0000-0000780A0000}"/>
    <cellStyle name="Normal 2 253" xfId="2659" xr:uid="{00000000-0005-0000-0000-0000790A0000}"/>
    <cellStyle name="Normal 2 253 2" xfId="2660" xr:uid="{00000000-0005-0000-0000-00007A0A0000}"/>
    <cellStyle name="Normal 2 253 2 2" xfId="2661" xr:uid="{00000000-0005-0000-0000-00007B0A0000}"/>
    <cellStyle name="Normal 2 254" xfId="2662" xr:uid="{00000000-0005-0000-0000-00007C0A0000}"/>
    <cellStyle name="Normal 2 254 2" xfId="2663" xr:uid="{00000000-0005-0000-0000-00007D0A0000}"/>
    <cellStyle name="Normal 2 254 2 2" xfId="2664" xr:uid="{00000000-0005-0000-0000-00007E0A0000}"/>
    <cellStyle name="Normal 2 255" xfId="2665" xr:uid="{00000000-0005-0000-0000-00007F0A0000}"/>
    <cellStyle name="Normal 2 255 2" xfId="2666" xr:uid="{00000000-0005-0000-0000-0000800A0000}"/>
    <cellStyle name="Normal 2 255 2 2" xfId="2667" xr:uid="{00000000-0005-0000-0000-0000810A0000}"/>
    <cellStyle name="Normal 2 256" xfId="2668" xr:uid="{00000000-0005-0000-0000-0000820A0000}"/>
    <cellStyle name="Normal 2 257" xfId="4925" xr:uid="{00000000-0005-0000-0000-000079080000}"/>
    <cellStyle name="Normal 2 26" xfId="2669" xr:uid="{00000000-0005-0000-0000-0000830A0000}"/>
    <cellStyle name="Normal 2 26 2" xfId="2670" xr:uid="{00000000-0005-0000-0000-0000840A0000}"/>
    <cellStyle name="Normal 2 26 2 2" xfId="2671" xr:uid="{00000000-0005-0000-0000-0000850A0000}"/>
    <cellStyle name="Normal 2 27" xfId="2672" xr:uid="{00000000-0005-0000-0000-0000860A0000}"/>
    <cellStyle name="Normal 2 27 2" xfId="2673" xr:uid="{00000000-0005-0000-0000-0000870A0000}"/>
    <cellStyle name="Normal 2 27 2 2" xfId="2674" xr:uid="{00000000-0005-0000-0000-0000880A0000}"/>
    <cellStyle name="Normal 2 28" xfId="2675" xr:uid="{00000000-0005-0000-0000-0000890A0000}"/>
    <cellStyle name="Normal 2 28 2" xfId="2676" xr:uid="{00000000-0005-0000-0000-00008A0A0000}"/>
    <cellStyle name="Normal 2 28 2 2" xfId="2677" xr:uid="{00000000-0005-0000-0000-00008B0A0000}"/>
    <cellStyle name="Normal 2 29" xfId="2678" xr:uid="{00000000-0005-0000-0000-00008C0A0000}"/>
    <cellStyle name="Normal 2 29 2" xfId="2679" xr:uid="{00000000-0005-0000-0000-00008D0A0000}"/>
    <cellStyle name="Normal 2 29 2 2" xfId="2680" xr:uid="{00000000-0005-0000-0000-00008E0A0000}"/>
    <cellStyle name="Normal 2 3" xfId="2681" xr:uid="{00000000-0005-0000-0000-00008F0A0000}"/>
    <cellStyle name="Normal 2 3 2" xfId="2682" xr:uid="{00000000-0005-0000-0000-0000900A0000}"/>
    <cellStyle name="Normal 2 30" xfId="2683" xr:uid="{00000000-0005-0000-0000-0000910A0000}"/>
    <cellStyle name="Normal 2 30 2" xfId="2684" xr:uid="{00000000-0005-0000-0000-0000920A0000}"/>
    <cellStyle name="Normal 2 30 2 2" xfId="2685" xr:uid="{00000000-0005-0000-0000-0000930A0000}"/>
    <cellStyle name="Normal 2 31" xfId="2686" xr:uid="{00000000-0005-0000-0000-0000940A0000}"/>
    <cellStyle name="Normal 2 31 2" xfId="2687" xr:uid="{00000000-0005-0000-0000-0000950A0000}"/>
    <cellStyle name="Normal 2 31 2 2" xfId="2688" xr:uid="{00000000-0005-0000-0000-0000960A0000}"/>
    <cellStyle name="Normal 2 32" xfId="2689" xr:uid="{00000000-0005-0000-0000-0000970A0000}"/>
    <cellStyle name="Normal 2 32 2" xfId="2690" xr:uid="{00000000-0005-0000-0000-0000980A0000}"/>
    <cellStyle name="Normal 2 32 2 2" xfId="2691" xr:uid="{00000000-0005-0000-0000-0000990A0000}"/>
    <cellStyle name="Normal 2 33" xfId="2692" xr:uid="{00000000-0005-0000-0000-00009A0A0000}"/>
    <cellStyle name="Normal 2 33 2" xfId="2693" xr:uid="{00000000-0005-0000-0000-00009B0A0000}"/>
    <cellStyle name="Normal 2 33 2 2" xfId="2694" xr:uid="{00000000-0005-0000-0000-00009C0A0000}"/>
    <cellStyle name="Normal 2 34" xfId="2695" xr:uid="{00000000-0005-0000-0000-00009D0A0000}"/>
    <cellStyle name="Normal 2 34 2" xfId="2696" xr:uid="{00000000-0005-0000-0000-00009E0A0000}"/>
    <cellStyle name="Normal 2 34 2 2" xfId="2697" xr:uid="{00000000-0005-0000-0000-00009F0A0000}"/>
    <cellStyle name="Normal 2 35" xfId="2698" xr:uid="{00000000-0005-0000-0000-0000A00A0000}"/>
    <cellStyle name="Normal 2 35 2" xfId="2699" xr:uid="{00000000-0005-0000-0000-0000A10A0000}"/>
    <cellStyle name="Normal 2 35 2 2" xfId="2700" xr:uid="{00000000-0005-0000-0000-0000A20A0000}"/>
    <cellStyle name="Normal 2 36" xfId="2701" xr:uid="{00000000-0005-0000-0000-0000A30A0000}"/>
    <cellStyle name="Normal 2 36 2" xfId="2702" xr:uid="{00000000-0005-0000-0000-0000A40A0000}"/>
    <cellStyle name="Normal 2 36 2 2" xfId="2703" xr:uid="{00000000-0005-0000-0000-0000A50A0000}"/>
    <cellStyle name="Normal 2 37" xfId="2704" xr:uid="{00000000-0005-0000-0000-0000A60A0000}"/>
    <cellStyle name="Normal 2 37 2" xfId="2705" xr:uid="{00000000-0005-0000-0000-0000A70A0000}"/>
    <cellStyle name="Normal 2 37 2 2" xfId="2706" xr:uid="{00000000-0005-0000-0000-0000A80A0000}"/>
    <cellStyle name="Normal 2 38" xfId="2707" xr:uid="{00000000-0005-0000-0000-0000A90A0000}"/>
    <cellStyle name="Normal 2 38 2" xfId="2708" xr:uid="{00000000-0005-0000-0000-0000AA0A0000}"/>
    <cellStyle name="Normal 2 38 2 2" xfId="2709" xr:uid="{00000000-0005-0000-0000-0000AB0A0000}"/>
    <cellStyle name="Normal 2 39" xfId="2710" xr:uid="{00000000-0005-0000-0000-0000AC0A0000}"/>
    <cellStyle name="Normal 2 39 2" xfId="2711" xr:uid="{00000000-0005-0000-0000-0000AD0A0000}"/>
    <cellStyle name="Normal 2 39 2 2" xfId="2712" xr:uid="{00000000-0005-0000-0000-0000AE0A0000}"/>
    <cellStyle name="Normal 2 4" xfId="2713" xr:uid="{00000000-0005-0000-0000-0000AF0A0000}"/>
    <cellStyle name="Normal 2 4 2" xfId="2714" xr:uid="{00000000-0005-0000-0000-0000B00A0000}"/>
    <cellStyle name="Normal 2 40" xfId="2715" xr:uid="{00000000-0005-0000-0000-0000B10A0000}"/>
    <cellStyle name="Normal 2 40 2" xfId="2716" xr:uid="{00000000-0005-0000-0000-0000B20A0000}"/>
    <cellStyle name="Normal 2 40 2 2" xfId="2717" xr:uid="{00000000-0005-0000-0000-0000B30A0000}"/>
    <cellStyle name="Normal 2 41" xfId="2718" xr:uid="{00000000-0005-0000-0000-0000B40A0000}"/>
    <cellStyle name="Normal 2 41 2" xfId="2719" xr:uid="{00000000-0005-0000-0000-0000B50A0000}"/>
    <cellStyle name="Normal 2 41 2 2" xfId="2720" xr:uid="{00000000-0005-0000-0000-0000B60A0000}"/>
    <cellStyle name="Normal 2 42" xfId="2721" xr:uid="{00000000-0005-0000-0000-0000B70A0000}"/>
    <cellStyle name="Normal 2 42 2" xfId="2722" xr:uid="{00000000-0005-0000-0000-0000B80A0000}"/>
    <cellStyle name="Normal 2 42 2 2" xfId="2723" xr:uid="{00000000-0005-0000-0000-0000B90A0000}"/>
    <cellStyle name="Normal 2 43" xfId="2724" xr:uid="{00000000-0005-0000-0000-0000BA0A0000}"/>
    <cellStyle name="Normal 2 43 2" xfId="2725" xr:uid="{00000000-0005-0000-0000-0000BB0A0000}"/>
    <cellStyle name="Normal 2 43 2 2" xfId="2726" xr:uid="{00000000-0005-0000-0000-0000BC0A0000}"/>
    <cellStyle name="Normal 2 44" xfId="2727" xr:uid="{00000000-0005-0000-0000-0000BD0A0000}"/>
    <cellStyle name="Normal 2 44 2" xfId="2728" xr:uid="{00000000-0005-0000-0000-0000BE0A0000}"/>
    <cellStyle name="Normal 2 44 2 2" xfId="2729" xr:uid="{00000000-0005-0000-0000-0000BF0A0000}"/>
    <cellStyle name="Normal 2 45" xfId="2730" xr:uid="{00000000-0005-0000-0000-0000C00A0000}"/>
    <cellStyle name="Normal 2 45 2" xfId="2731" xr:uid="{00000000-0005-0000-0000-0000C10A0000}"/>
    <cellStyle name="Normal 2 45 2 2" xfId="2732" xr:uid="{00000000-0005-0000-0000-0000C20A0000}"/>
    <cellStyle name="Normal 2 46" xfId="2733" xr:uid="{00000000-0005-0000-0000-0000C30A0000}"/>
    <cellStyle name="Normal 2 46 2" xfId="2734" xr:uid="{00000000-0005-0000-0000-0000C40A0000}"/>
    <cellStyle name="Normal 2 46 2 2" xfId="2735" xr:uid="{00000000-0005-0000-0000-0000C50A0000}"/>
    <cellStyle name="Normal 2 47" xfId="2736" xr:uid="{00000000-0005-0000-0000-0000C60A0000}"/>
    <cellStyle name="Normal 2 47 2" xfId="2737" xr:uid="{00000000-0005-0000-0000-0000C70A0000}"/>
    <cellStyle name="Normal 2 47 2 2" xfId="2738" xr:uid="{00000000-0005-0000-0000-0000C80A0000}"/>
    <cellStyle name="Normal 2 48" xfId="2739" xr:uid="{00000000-0005-0000-0000-0000C90A0000}"/>
    <cellStyle name="Normal 2 48 2" xfId="2740" xr:uid="{00000000-0005-0000-0000-0000CA0A0000}"/>
    <cellStyle name="Normal 2 48 2 2" xfId="2741" xr:uid="{00000000-0005-0000-0000-0000CB0A0000}"/>
    <cellStyle name="Normal 2 49" xfId="2742" xr:uid="{00000000-0005-0000-0000-0000CC0A0000}"/>
    <cellStyle name="Normal 2 49 2" xfId="2743" xr:uid="{00000000-0005-0000-0000-0000CD0A0000}"/>
    <cellStyle name="Normal 2 49 2 2" xfId="2744" xr:uid="{00000000-0005-0000-0000-0000CE0A0000}"/>
    <cellStyle name="Normal 2 5" xfId="2745" xr:uid="{00000000-0005-0000-0000-0000CF0A0000}"/>
    <cellStyle name="Normal 2 5 2" xfId="2746" xr:uid="{00000000-0005-0000-0000-0000D00A0000}"/>
    <cellStyle name="Normal 2 50" xfId="2747" xr:uid="{00000000-0005-0000-0000-0000D10A0000}"/>
    <cellStyle name="Normal 2 50 2" xfId="2748" xr:uid="{00000000-0005-0000-0000-0000D20A0000}"/>
    <cellStyle name="Normal 2 50 2 2" xfId="2749" xr:uid="{00000000-0005-0000-0000-0000D30A0000}"/>
    <cellStyle name="Normal 2 51" xfId="2750" xr:uid="{00000000-0005-0000-0000-0000D40A0000}"/>
    <cellStyle name="Normal 2 51 2" xfId="2751" xr:uid="{00000000-0005-0000-0000-0000D50A0000}"/>
    <cellStyle name="Normal 2 51 2 2" xfId="2752" xr:uid="{00000000-0005-0000-0000-0000D60A0000}"/>
    <cellStyle name="Normal 2 52" xfId="2753" xr:uid="{00000000-0005-0000-0000-0000D70A0000}"/>
    <cellStyle name="Normal 2 52 2" xfId="2754" xr:uid="{00000000-0005-0000-0000-0000D80A0000}"/>
    <cellStyle name="Normal 2 52 2 2" xfId="2755" xr:uid="{00000000-0005-0000-0000-0000D90A0000}"/>
    <cellStyle name="Normal 2 53" xfId="2756" xr:uid="{00000000-0005-0000-0000-0000DA0A0000}"/>
    <cellStyle name="Normal 2 53 2" xfId="2757" xr:uid="{00000000-0005-0000-0000-0000DB0A0000}"/>
    <cellStyle name="Normal 2 53 2 2" xfId="2758" xr:uid="{00000000-0005-0000-0000-0000DC0A0000}"/>
    <cellStyle name="Normal 2 54" xfId="2759" xr:uid="{00000000-0005-0000-0000-0000DD0A0000}"/>
    <cellStyle name="Normal 2 54 2" xfId="2760" xr:uid="{00000000-0005-0000-0000-0000DE0A0000}"/>
    <cellStyle name="Normal 2 54 2 2" xfId="2761" xr:uid="{00000000-0005-0000-0000-0000DF0A0000}"/>
    <cellStyle name="Normal 2 55" xfId="2762" xr:uid="{00000000-0005-0000-0000-0000E00A0000}"/>
    <cellStyle name="Normal 2 55 2" xfId="2763" xr:uid="{00000000-0005-0000-0000-0000E10A0000}"/>
    <cellStyle name="Normal 2 55 2 2" xfId="2764" xr:uid="{00000000-0005-0000-0000-0000E20A0000}"/>
    <cellStyle name="Normal 2 56" xfId="2765" xr:uid="{00000000-0005-0000-0000-0000E30A0000}"/>
    <cellStyle name="Normal 2 56 2" xfId="2766" xr:uid="{00000000-0005-0000-0000-0000E40A0000}"/>
    <cellStyle name="Normal 2 56 2 2" xfId="2767" xr:uid="{00000000-0005-0000-0000-0000E50A0000}"/>
    <cellStyle name="Normal 2 57" xfId="2768" xr:uid="{00000000-0005-0000-0000-0000E60A0000}"/>
    <cellStyle name="Normal 2 57 2" xfId="2769" xr:uid="{00000000-0005-0000-0000-0000E70A0000}"/>
    <cellStyle name="Normal 2 57 2 2" xfId="2770" xr:uid="{00000000-0005-0000-0000-0000E80A0000}"/>
    <cellStyle name="Normal 2 58" xfId="2771" xr:uid="{00000000-0005-0000-0000-0000E90A0000}"/>
    <cellStyle name="Normal 2 58 2" xfId="2772" xr:uid="{00000000-0005-0000-0000-0000EA0A0000}"/>
    <cellStyle name="Normal 2 58 2 2" xfId="2773" xr:uid="{00000000-0005-0000-0000-0000EB0A0000}"/>
    <cellStyle name="Normal 2 59" xfId="2774" xr:uid="{00000000-0005-0000-0000-0000EC0A0000}"/>
    <cellStyle name="Normal 2 59 2" xfId="2775" xr:uid="{00000000-0005-0000-0000-0000ED0A0000}"/>
    <cellStyle name="Normal 2 59 2 2" xfId="2776" xr:uid="{00000000-0005-0000-0000-0000EE0A0000}"/>
    <cellStyle name="Normal 2 6" xfId="2777" xr:uid="{00000000-0005-0000-0000-0000EF0A0000}"/>
    <cellStyle name="Normal 2 6 2" xfId="2778" xr:uid="{00000000-0005-0000-0000-0000F00A0000}"/>
    <cellStyle name="Normal 2 6 2 2" xfId="2779" xr:uid="{00000000-0005-0000-0000-0000F10A0000}"/>
    <cellStyle name="Normal 2 60" xfId="2780" xr:uid="{00000000-0005-0000-0000-0000F20A0000}"/>
    <cellStyle name="Normal 2 60 2" xfId="2781" xr:uid="{00000000-0005-0000-0000-0000F30A0000}"/>
    <cellStyle name="Normal 2 60 2 2" xfId="2782" xr:uid="{00000000-0005-0000-0000-0000F40A0000}"/>
    <cellStyle name="Normal 2 61" xfId="2783" xr:uid="{00000000-0005-0000-0000-0000F50A0000}"/>
    <cellStyle name="Normal 2 61 2" xfId="2784" xr:uid="{00000000-0005-0000-0000-0000F60A0000}"/>
    <cellStyle name="Normal 2 61 2 2" xfId="2785" xr:uid="{00000000-0005-0000-0000-0000F70A0000}"/>
    <cellStyle name="Normal 2 62" xfId="2786" xr:uid="{00000000-0005-0000-0000-0000F80A0000}"/>
    <cellStyle name="Normal 2 62 2" xfId="2787" xr:uid="{00000000-0005-0000-0000-0000F90A0000}"/>
    <cellStyle name="Normal 2 62 2 2" xfId="2788" xr:uid="{00000000-0005-0000-0000-0000FA0A0000}"/>
    <cellStyle name="Normal 2 63" xfId="2789" xr:uid="{00000000-0005-0000-0000-0000FB0A0000}"/>
    <cellStyle name="Normal 2 63 2" xfId="2790" xr:uid="{00000000-0005-0000-0000-0000FC0A0000}"/>
    <cellStyle name="Normal 2 63 2 2" xfId="2791" xr:uid="{00000000-0005-0000-0000-0000FD0A0000}"/>
    <cellStyle name="Normal 2 64" xfId="2792" xr:uid="{00000000-0005-0000-0000-0000FE0A0000}"/>
    <cellStyle name="Normal 2 64 2" xfId="2793" xr:uid="{00000000-0005-0000-0000-0000FF0A0000}"/>
    <cellStyle name="Normal 2 64 2 2" xfId="2794" xr:uid="{00000000-0005-0000-0000-0000000B0000}"/>
    <cellStyle name="Normal 2 65" xfId="2795" xr:uid="{00000000-0005-0000-0000-0000010B0000}"/>
    <cellStyle name="Normal 2 65 2" xfId="2796" xr:uid="{00000000-0005-0000-0000-0000020B0000}"/>
    <cellStyle name="Normal 2 65 2 2" xfId="2797" xr:uid="{00000000-0005-0000-0000-0000030B0000}"/>
    <cellStyle name="Normal 2 66" xfId="2798" xr:uid="{00000000-0005-0000-0000-0000040B0000}"/>
    <cellStyle name="Normal 2 66 2" xfId="2799" xr:uid="{00000000-0005-0000-0000-0000050B0000}"/>
    <cellStyle name="Normal 2 66 2 2" xfId="2800" xr:uid="{00000000-0005-0000-0000-0000060B0000}"/>
    <cellStyle name="Normal 2 67" xfId="2801" xr:uid="{00000000-0005-0000-0000-0000070B0000}"/>
    <cellStyle name="Normal 2 67 2" xfId="2802" xr:uid="{00000000-0005-0000-0000-0000080B0000}"/>
    <cellStyle name="Normal 2 67 2 2" xfId="2803" xr:uid="{00000000-0005-0000-0000-0000090B0000}"/>
    <cellStyle name="Normal 2 68" xfId="2804" xr:uid="{00000000-0005-0000-0000-00000A0B0000}"/>
    <cellStyle name="Normal 2 68 2" xfId="2805" xr:uid="{00000000-0005-0000-0000-00000B0B0000}"/>
    <cellStyle name="Normal 2 68 2 2" xfId="2806" xr:uid="{00000000-0005-0000-0000-00000C0B0000}"/>
    <cellStyle name="Normal 2 69" xfId="2807" xr:uid="{00000000-0005-0000-0000-00000D0B0000}"/>
    <cellStyle name="Normal 2 69 2" xfId="2808" xr:uid="{00000000-0005-0000-0000-00000E0B0000}"/>
    <cellStyle name="Normal 2 69 2 2" xfId="2809" xr:uid="{00000000-0005-0000-0000-00000F0B0000}"/>
    <cellStyle name="Normal 2 7" xfId="2810" xr:uid="{00000000-0005-0000-0000-0000100B0000}"/>
    <cellStyle name="Normal 2 7 2" xfId="2811" xr:uid="{00000000-0005-0000-0000-0000110B0000}"/>
    <cellStyle name="Normal 2 7 2 2" xfId="2812" xr:uid="{00000000-0005-0000-0000-0000120B0000}"/>
    <cellStyle name="Normal 2 70" xfId="2813" xr:uid="{00000000-0005-0000-0000-0000130B0000}"/>
    <cellStyle name="Normal 2 70 2" xfId="2814" xr:uid="{00000000-0005-0000-0000-0000140B0000}"/>
    <cellStyle name="Normal 2 70 2 2" xfId="2815" xr:uid="{00000000-0005-0000-0000-0000150B0000}"/>
    <cellStyle name="Normal 2 71" xfId="2816" xr:uid="{00000000-0005-0000-0000-0000160B0000}"/>
    <cellStyle name="Normal 2 71 2" xfId="2817" xr:uid="{00000000-0005-0000-0000-0000170B0000}"/>
    <cellStyle name="Normal 2 71 2 2" xfId="2818" xr:uid="{00000000-0005-0000-0000-0000180B0000}"/>
    <cellStyle name="Normal 2 72" xfId="2819" xr:uid="{00000000-0005-0000-0000-0000190B0000}"/>
    <cellStyle name="Normal 2 72 2" xfId="2820" xr:uid="{00000000-0005-0000-0000-00001A0B0000}"/>
    <cellStyle name="Normal 2 72 2 2" xfId="2821" xr:uid="{00000000-0005-0000-0000-00001B0B0000}"/>
    <cellStyle name="Normal 2 73" xfId="2822" xr:uid="{00000000-0005-0000-0000-00001C0B0000}"/>
    <cellStyle name="Normal 2 73 2" xfId="2823" xr:uid="{00000000-0005-0000-0000-00001D0B0000}"/>
    <cellStyle name="Normal 2 73 2 2" xfId="2824" xr:uid="{00000000-0005-0000-0000-00001E0B0000}"/>
    <cellStyle name="Normal 2 74" xfId="2825" xr:uid="{00000000-0005-0000-0000-00001F0B0000}"/>
    <cellStyle name="Normal 2 74 2" xfId="2826" xr:uid="{00000000-0005-0000-0000-0000200B0000}"/>
    <cellStyle name="Normal 2 74 2 2" xfId="2827" xr:uid="{00000000-0005-0000-0000-0000210B0000}"/>
    <cellStyle name="Normal 2 75" xfId="2828" xr:uid="{00000000-0005-0000-0000-0000220B0000}"/>
    <cellStyle name="Normal 2 75 2" xfId="2829" xr:uid="{00000000-0005-0000-0000-0000230B0000}"/>
    <cellStyle name="Normal 2 75 2 2" xfId="2830" xr:uid="{00000000-0005-0000-0000-0000240B0000}"/>
    <cellStyle name="Normal 2 76" xfId="2831" xr:uid="{00000000-0005-0000-0000-0000250B0000}"/>
    <cellStyle name="Normal 2 76 2" xfId="2832" xr:uid="{00000000-0005-0000-0000-0000260B0000}"/>
    <cellStyle name="Normal 2 76 2 2" xfId="2833" xr:uid="{00000000-0005-0000-0000-0000270B0000}"/>
    <cellStyle name="Normal 2 77" xfId="2834" xr:uid="{00000000-0005-0000-0000-0000280B0000}"/>
    <cellStyle name="Normal 2 77 2" xfId="2835" xr:uid="{00000000-0005-0000-0000-0000290B0000}"/>
    <cellStyle name="Normal 2 77 2 2" xfId="2836" xr:uid="{00000000-0005-0000-0000-00002A0B0000}"/>
    <cellStyle name="Normal 2 78" xfId="2837" xr:uid="{00000000-0005-0000-0000-00002B0B0000}"/>
    <cellStyle name="Normal 2 78 2" xfId="2838" xr:uid="{00000000-0005-0000-0000-00002C0B0000}"/>
    <cellStyle name="Normal 2 78 2 2" xfId="2839" xr:uid="{00000000-0005-0000-0000-00002D0B0000}"/>
    <cellStyle name="Normal 2 79" xfId="2840" xr:uid="{00000000-0005-0000-0000-00002E0B0000}"/>
    <cellStyle name="Normal 2 79 2" xfId="2841" xr:uid="{00000000-0005-0000-0000-00002F0B0000}"/>
    <cellStyle name="Normal 2 79 2 2" xfId="2842" xr:uid="{00000000-0005-0000-0000-0000300B0000}"/>
    <cellStyle name="Normal 2 8" xfId="2843" xr:uid="{00000000-0005-0000-0000-0000310B0000}"/>
    <cellStyle name="Normal 2 8 2" xfId="2844" xr:uid="{00000000-0005-0000-0000-0000320B0000}"/>
    <cellStyle name="Normal 2 8 2 2" xfId="2845" xr:uid="{00000000-0005-0000-0000-0000330B0000}"/>
    <cellStyle name="Normal 2 80" xfId="2846" xr:uid="{00000000-0005-0000-0000-0000340B0000}"/>
    <cellStyle name="Normal 2 80 2" xfId="2847" xr:uid="{00000000-0005-0000-0000-0000350B0000}"/>
    <cellStyle name="Normal 2 80 2 2" xfId="2848" xr:uid="{00000000-0005-0000-0000-0000360B0000}"/>
    <cellStyle name="Normal 2 81" xfId="2849" xr:uid="{00000000-0005-0000-0000-0000370B0000}"/>
    <cellStyle name="Normal 2 81 2" xfId="2850" xr:uid="{00000000-0005-0000-0000-0000380B0000}"/>
    <cellStyle name="Normal 2 81 2 2" xfId="2851" xr:uid="{00000000-0005-0000-0000-0000390B0000}"/>
    <cellStyle name="Normal 2 82" xfId="2852" xr:uid="{00000000-0005-0000-0000-00003A0B0000}"/>
    <cellStyle name="Normal 2 82 2" xfId="2853" xr:uid="{00000000-0005-0000-0000-00003B0B0000}"/>
    <cellStyle name="Normal 2 82 2 2" xfId="2854" xr:uid="{00000000-0005-0000-0000-00003C0B0000}"/>
    <cellStyle name="Normal 2 83" xfId="2855" xr:uid="{00000000-0005-0000-0000-00003D0B0000}"/>
    <cellStyle name="Normal 2 83 2" xfId="2856" xr:uid="{00000000-0005-0000-0000-00003E0B0000}"/>
    <cellStyle name="Normal 2 83 2 2" xfId="2857" xr:uid="{00000000-0005-0000-0000-00003F0B0000}"/>
    <cellStyle name="Normal 2 84" xfId="2858" xr:uid="{00000000-0005-0000-0000-0000400B0000}"/>
    <cellStyle name="Normal 2 84 2" xfId="2859" xr:uid="{00000000-0005-0000-0000-0000410B0000}"/>
    <cellStyle name="Normal 2 84 2 2" xfId="2860" xr:uid="{00000000-0005-0000-0000-0000420B0000}"/>
    <cellStyle name="Normal 2 85" xfId="2861" xr:uid="{00000000-0005-0000-0000-0000430B0000}"/>
    <cellStyle name="Normal 2 85 2" xfId="2862" xr:uid="{00000000-0005-0000-0000-0000440B0000}"/>
    <cellStyle name="Normal 2 85 2 2" xfId="2863" xr:uid="{00000000-0005-0000-0000-0000450B0000}"/>
    <cellStyle name="Normal 2 86" xfId="2864" xr:uid="{00000000-0005-0000-0000-0000460B0000}"/>
    <cellStyle name="Normal 2 86 2" xfId="2865" xr:uid="{00000000-0005-0000-0000-0000470B0000}"/>
    <cellStyle name="Normal 2 86 2 2" xfId="2866" xr:uid="{00000000-0005-0000-0000-0000480B0000}"/>
    <cellStyle name="Normal 2 87" xfId="2867" xr:uid="{00000000-0005-0000-0000-0000490B0000}"/>
    <cellStyle name="Normal 2 87 2" xfId="2868" xr:uid="{00000000-0005-0000-0000-00004A0B0000}"/>
    <cellStyle name="Normal 2 87 2 2" xfId="2869" xr:uid="{00000000-0005-0000-0000-00004B0B0000}"/>
    <cellStyle name="Normal 2 88" xfId="2870" xr:uid="{00000000-0005-0000-0000-00004C0B0000}"/>
    <cellStyle name="Normal 2 88 2" xfId="2871" xr:uid="{00000000-0005-0000-0000-00004D0B0000}"/>
    <cellStyle name="Normal 2 88 2 2" xfId="2872" xr:uid="{00000000-0005-0000-0000-00004E0B0000}"/>
    <cellStyle name="Normal 2 89" xfId="2873" xr:uid="{00000000-0005-0000-0000-00004F0B0000}"/>
    <cellStyle name="Normal 2 89 2" xfId="2874" xr:uid="{00000000-0005-0000-0000-0000500B0000}"/>
    <cellStyle name="Normal 2 89 2 2" xfId="2875" xr:uid="{00000000-0005-0000-0000-0000510B0000}"/>
    <cellStyle name="Normal 2 9" xfId="2876" xr:uid="{00000000-0005-0000-0000-0000520B0000}"/>
    <cellStyle name="Normal 2 9 2" xfId="2877" xr:uid="{00000000-0005-0000-0000-0000530B0000}"/>
    <cellStyle name="Normal 2 9 2 2" xfId="2878" xr:uid="{00000000-0005-0000-0000-0000540B0000}"/>
    <cellStyle name="Normal 2 90" xfId="2879" xr:uid="{00000000-0005-0000-0000-0000550B0000}"/>
    <cellStyle name="Normal 2 90 2" xfId="2880" xr:uid="{00000000-0005-0000-0000-0000560B0000}"/>
    <cellStyle name="Normal 2 90 2 2" xfId="2881" xr:uid="{00000000-0005-0000-0000-0000570B0000}"/>
    <cellStyle name="Normal 2 91" xfId="2882" xr:uid="{00000000-0005-0000-0000-0000580B0000}"/>
    <cellStyle name="Normal 2 91 2" xfId="2883" xr:uid="{00000000-0005-0000-0000-0000590B0000}"/>
    <cellStyle name="Normal 2 91 2 2" xfId="2884" xr:uid="{00000000-0005-0000-0000-00005A0B0000}"/>
    <cellStyle name="Normal 2 92" xfId="2885" xr:uid="{00000000-0005-0000-0000-00005B0B0000}"/>
    <cellStyle name="Normal 2 92 2" xfId="2886" xr:uid="{00000000-0005-0000-0000-00005C0B0000}"/>
    <cellStyle name="Normal 2 92 2 2" xfId="2887" xr:uid="{00000000-0005-0000-0000-00005D0B0000}"/>
    <cellStyle name="Normal 2 93" xfId="2888" xr:uid="{00000000-0005-0000-0000-00005E0B0000}"/>
    <cellStyle name="Normal 2 93 2" xfId="2889" xr:uid="{00000000-0005-0000-0000-00005F0B0000}"/>
    <cellStyle name="Normal 2 93 2 2" xfId="2890" xr:uid="{00000000-0005-0000-0000-0000600B0000}"/>
    <cellStyle name="Normal 2 94" xfId="2891" xr:uid="{00000000-0005-0000-0000-0000610B0000}"/>
    <cellStyle name="Normal 2 94 2" xfId="2892" xr:uid="{00000000-0005-0000-0000-0000620B0000}"/>
    <cellStyle name="Normal 2 94 2 2" xfId="2893" xr:uid="{00000000-0005-0000-0000-0000630B0000}"/>
    <cellStyle name="Normal 2 95" xfId="2894" xr:uid="{00000000-0005-0000-0000-0000640B0000}"/>
    <cellStyle name="Normal 2 95 2" xfId="2895" xr:uid="{00000000-0005-0000-0000-0000650B0000}"/>
    <cellStyle name="Normal 2 95 2 2" xfId="2896" xr:uid="{00000000-0005-0000-0000-0000660B0000}"/>
    <cellStyle name="Normal 2 96" xfId="2897" xr:uid="{00000000-0005-0000-0000-0000670B0000}"/>
    <cellStyle name="Normal 2 96 2" xfId="2898" xr:uid="{00000000-0005-0000-0000-0000680B0000}"/>
    <cellStyle name="Normal 2 96 2 2" xfId="2899" xr:uid="{00000000-0005-0000-0000-0000690B0000}"/>
    <cellStyle name="Normal 2 97" xfId="2900" xr:uid="{00000000-0005-0000-0000-00006A0B0000}"/>
    <cellStyle name="Normal 2 97 2" xfId="2901" xr:uid="{00000000-0005-0000-0000-00006B0B0000}"/>
    <cellStyle name="Normal 2 97 2 2" xfId="2902" xr:uid="{00000000-0005-0000-0000-00006C0B0000}"/>
    <cellStyle name="Normal 2 98" xfId="2903" xr:uid="{00000000-0005-0000-0000-00006D0B0000}"/>
    <cellStyle name="Normal 2 98 2" xfId="2904" xr:uid="{00000000-0005-0000-0000-00006E0B0000}"/>
    <cellStyle name="Normal 2 98 2 2" xfId="2905" xr:uid="{00000000-0005-0000-0000-00006F0B0000}"/>
    <cellStyle name="Normal 2 99" xfId="2906" xr:uid="{00000000-0005-0000-0000-0000700B0000}"/>
    <cellStyle name="Normal 2 99 2" xfId="2907" xr:uid="{00000000-0005-0000-0000-0000710B0000}"/>
    <cellStyle name="Normal 2 99 2 2" xfId="2908" xr:uid="{00000000-0005-0000-0000-0000720B0000}"/>
    <cellStyle name="Normal 2_- - # IBM Response to Atos x86 eBidding_2011.11.25_mod.Hackl" xfId="2909" xr:uid="{00000000-0005-0000-0000-0000730B0000}"/>
    <cellStyle name="Normal 20" xfId="2910" xr:uid="{00000000-0005-0000-0000-0000740B0000}"/>
    <cellStyle name="Normal 20 10" xfId="2911" xr:uid="{00000000-0005-0000-0000-0000750B0000}"/>
    <cellStyle name="Normal 20 10 2" xfId="2912" xr:uid="{00000000-0005-0000-0000-0000760B0000}"/>
    <cellStyle name="Normal 20 11" xfId="2913" xr:uid="{00000000-0005-0000-0000-0000770B0000}"/>
    <cellStyle name="Normal 20 11 2" xfId="2914" xr:uid="{00000000-0005-0000-0000-0000780B0000}"/>
    <cellStyle name="Normal 20 12" xfId="2915" xr:uid="{00000000-0005-0000-0000-0000790B0000}"/>
    <cellStyle name="Normal 20 12 2" xfId="2916" xr:uid="{00000000-0005-0000-0000-00007A0B0000}"/>
    <cellStyle name="Normal 20 13" xfId="2917" xr:uid="{00000000-0005-0000-0000-00007B0B0000}"/>
    <cellStyle name="Normal 20 13 2" xfId="2918" xr:uid="{00000000-0005-0000-0000-00007C0B0000}"/>
    <cellStyle name="Normal 20 14" xfId="2919" xr:uid="{00000000-0005-0000-0000-00007D0B0000}"/>
    <cellStyle name="Normal 20 14 2" xfId="2920" xr:uid="{00000000-0005-0000-0000-00007E0B0000}"/>
    <cellStyle name="Normal 20 15" xfId="2921" xr:uid="{00000000-0005-0000-0000-00007F0B0000}"/>
    <cellStyle name="Normal 20 15 2" xfId="2922" xr:uid="{00000000-0005-0000-0000-0000800B0000}"/>
    <cellStyle name="Normal 20 16" xfId="2923" xr:uid="{00000000-0005-0000-0000-0000810B0000}"/>
    <cellStyle name="Normal 20 16 2" xfId="2924" xr:uid="{00000000-0005-0000-0000-0000820B0000}"/>
    <cellStyle name="Normal 20 17" xfId="2925" xr:uid="{00000000-0005-0000-0000-0000830B0000}"/>
    <cellStyle name="Normal 20 17 2" xfId="2926" xr:uid="{00000000-0005-0000-0000-0000840B0000}"/>
    <cellStyle name="Normal 20 18" xfId="2927" xr:uid="{00000000-0005-0000-0000-0000850B0000}"/>
    <cellStyle name="Normal 20 18 2" xfId="2928" xr:uid="{00000000-0005-0000-0000-0000860B0000}"/>
    <cellStyle name="Normal 20 19" xfId="2929" xr:uid="{00000000-0005-0000-0000-0000870B0000}"/>
    <cellStyle name="Normal 20 19 2" xfId="2930" xr:uid="{00000000-0005-0000-0000-0000880B0000}"/>
    <cellStyle name="Normal 20 2" xfId="2931" xr:uid="{00000000-0005-0000-0000-0000890B0000}"/>
    <cellStyle name="Normal 20 2 2" xfId="2932" xr:uid="{00000000-0005-0000-0000-00008A0B0000}"/>
    <cellStyle name="Normal 20 20" xfId="2933" xr:uid="{00000000-0005-0000-0000-00008B0B0000}"/>
    <cellStyle name="Normal 20 20 2" xfId="2934" xr:uid="{00000000-0005-0000-0000-00008C0B0000}"/>
    <cellStyle name="Normal 20 21" xfId="2935" xr:uid="{00000000-0005-0000-0000-00008D0B0000}"/>
    <cellStyle name="Normal 20 21 2" xfId="2936" xr:uid="{00000000-0005-0000-0000-00008E0B0000}"/>
    <cellStyle name="Normal 20 22" xfId="2937" xr:uid="{00000000-0005-0000-0000-00008F0B0000}"/>
    <cellStyle name="Normal 20 22 2" xfId="2938" xr:uid="{00000000-0005-0000-0000-0000900B0000}"/>
    <cellStyle name="Normal 20 23" xfId="2939" xr:uid="{00000000-0005-0000-0000-0000910B0000}"/>
    <cellStyle name="Normal 20 23 2" xfId="2940" xr:uid="{00000000-0005-0000-0000-0000920B0000}"/>
    <cellStyle name="Normal 20 24" xfId="2941" xr:uid="{00000000-0005-0000-0000-0000930B0000}"/>
    <cellStyle name="Normal 20 24 2" xfId="2942" xr:uid="{00000000-0005-0000-0000-0000940B0000}"/>
    <cellStyle name="Normal 20 25" xfId="2943" xr:uid="{00000000-0005-0000-0000-0000950B0000}"/>
    <cellStyle name="Normal 20 25 2" xfId="2944" xr:uid="{00000000-0005-0000-0000-0000960B0000}"/>
    <cellStyle name="Normal 20 26" xfId="2945" xr:uid="{00000000-0005-0000-0000-0000970B0000}"/>
    <cellStyle name="Normal 20 26 2" xfId="2946" xr:uid="{00000000-0005-0000-0000-0000980B0000}"/>
    <cellStyle name="Normal 20 27" xfId="2947" xr:uid="{00000000-0005-0000-0000-0000990B0000}"/>
    <cellStyle name="Normal 20 27 2" xfId="2948" xr:uid="{00000000-0005-0000-0000-00009A0B0000}"/>
    <cellStyle name="Normal 20 28" xfId="2949" xr:uid="{00000000-0005-0000-0000-00009B0B0000}"/>
    <cellStyle name="Normal 20 28 2" xfId="2950" xr:uid="{00000000-0005-0000-0000-00009C0B0000}"/>
    <cellStyle name="Normal 20 29" xfId="2951" xr:uid="{00000000-0005-0000-0000-00009D0B0000}"/>
    <cellStyle name="Normal 20 29 2" xfId="2952" xr:uid="{00000000-0005-0000-0000-00009E0B0000}"/>
    <cellStyle name="Normal 20 3" xfId="2953" xr:uid="{00000000-0005-0000-0000-00009F0B0000}"/>
    <cellStyle name="Normal 20 3 2" xfId="2954" xr:uid="{00000000-0005-0000-0000-0000A00B0000}"/>
    <cellStyle name="Normal 20 30" xfId="2955" xr:uid="{00000000-0005-0000-0000-0000A10B0000}"/>
    <cellStyle name="Normal 20 30 2" xfId="2956" xr:uid="{00000000-0005-0000-0000-0000A20B0000}"/>
    <cellStyle name="Normal 20 31" xfId="2957" xr:uid="{00000000-0005-0000-0000-0000A30B0000}"/>
    <cellStyle name="Normal 20 31 2" xfId="2958" xr:uid="{00000000-0005-0000-0000-0000A40B0000}"/>
    <cellStyle name="Normal 20 32" xfId="2959" xr:uid="{00000000-0005-0000-0000-0000A50B0000}"/>
    <cellStyle name="Normal 20 32 2" xfId="2960" xr:uid="{00000000-0005-0000-0000-0000A60B0000}"/>
    <cellStyle name="Normal 20 33" xfId="2961" xr:uid="{00000000-0005-0000-0000-0000A70B0000}"/>
    <cellStyle name="Normal 20 33 2" xfId="2962" xr:uid="{00000000-0005-0000-0000-0000A80B0000}"/>
    <cellStyle name="Normal 20 34" xfId="2963" xr:uid="{00000000-0005-0000-0000-0000A90B0000}"/>
    <cellStyle name="Normal 20 34 2" xfId="2964" xr:uid="{00000000-0005-0000-0000-0000AA0B0000}"/>
    <cellStyle name="Normal 20 35" xfId="2965" xr:uid="{00000000-0005-0000-0000-0000AB0B0000}"/>
    <cellStyle name="Normal 20 35 2" xfId="2966" xr:uid="{00000000-0005-0000-0000-0000AC0B0000}"/>
    <cellStyle name="Normal 20 36" xfId="2967" xr:uid="{00000000-0005-0000-0000-0000AD0B0000}"/>
    <cellStyle name="Normal 20 36 2" xfId="2968" xr:uid="{00000000-0005-0000-0000-0000AE0B0000}"/>
    <cellStyle name="Normal 20 37" xfId="2969" xr:uid="{00000000-0005-0000-0000-0000AF0B0000}"/>
    <cellStyle name="Normal 20 37 2" xfId="2970" xr:uid="{00000000-0005-0000-0000-0000B00B0000}"/>
    <cellStyle name="Normal 20 4" xfId="2971" xr:uid="{00000000-0005-0000-0000-0000B10B0000}"/>
    <cellStyle name="Normal 20 4 2" xfId="2972" xr:uid="{00000000-0005-0000-0000-0000B20B0000}"/>
    <cellStyle name="Normal 20 5" xfId="2973" xr:uid="{00000000-0005-0000-0000-0000B30B0000}"/>
    <cellStyle name="Normal 20 5 2" xfId="2974" xr:uid="{00000000-0005-0000-0000-0000B40B0000}"/>
    <cellStyle name="Normal 20 6" xfId="2975" xr:uid="{00000000-0005-0000-0000-0000B50B0000}"/>
    <cellStyle name="Normal 20 6 2" xfId="2976" xr:uid="{00000000-0005-0000-0000-0000B60B0000}"/>
    <cellStyle name="Normal 20 7" xfId="2977" xr:uid="{00000000-0005-0000-0000-0000B70B0000}"/>
    <cellStyle name="Normal 20 7 2" xfId="2978" xr:uid="{00000000-0005-0000-0000-0000B80B0000}"/>
    <cellStyle name="Normal 20 8" xfId="2979" xr:uid="{00000000-0005-0000-0000-0000B90B0000}"/>
    <cellStyle name="Normal 20 8 2" xfId="2980" xr:uid="{00000000-0005-0000-0000-0000BA0B0000}"/>
    <cellStyle name="Normal 20 9" xfId="2981" xr:uid="{00000000-0005-0000-0000-0000BB0B0000}"/>
    <cellStyle name="Normal 20 9 2" xfId="2982" xr:uid="{00000000-0005-0000-0000-0000BC0B0000}"/>
    <cellStyle name="Normal 20_Configurations FSC" xfId="2983" xr:uid="{00000000-0005-0000-0000-0000BD0B0000}"/>
    <cellStyle name="Normal 200" xfId="2984" xr:uid="{00000000-0005-0000-0000-0000BE0B0000}"/>
    <cellStyle name="Normal 200 2" xfId="4992" xr:uid="{00000000-0005-0000-0000-0000BE0B0000}"/>
    <cellStyle name="Normal 201" xfId="2985" xr:uid="{00000000-0005-0000-0000-0000BF0B0000}"/>
    <cellStyle name="Normal 201 2" xfId="4993" xr:uid="{00000000-0005-0000-0000-0000BF0B0000}"/>
    <cellStyle name="Normal 202" xfId="2986" xr:uid="{00000000-0005-0000-0000-0000C00B0000}"/>
    <cellStyle name="Normal 202 2" xfId="4994" xr:uid="{00000000-0005-0000-0000-0000C00B0000}"/>
    <cellStyle name="Normal 203" xfId="2987" xr:uid="{00000000-0005-0000-0000-0000C10B0000}"/>
    <cellStyle name="Normal 203 2" xfId="4995" xr:uid="{00000000-0005-0000-0000-0000C10B0000}"/>
    <cellStyle name="Normal 204" xfId="2988" xr:uid="{00000000-0005-0000-0000-0000C20B0000}"/>
    <cellStyle name="Normal 204 2" xfId="4996" xr:uid="{00000000-0005-0000-0000-0000C20B0000}"/>
    <cellStyle name="Normal 205" xfId="2989" xr:uid="{00000000-0005-0000-0000-0000C30B0000}"/>
    <cellStyle name="Normal 205 2" xfId="4997" xr:uid="{00000000-0005-0000-0000-0000C30B0000}"/>
    <cellStyle name="Normal 206" xfId="2990" xr:uid="{00000000-0005-0000-0000-0000C40B0000}"/>
    <cellStyle name="Normal 206 2" xfId="2991" xr:uid="{00000000-0005-0000-0000-0000C50B0000}"/>
    <cellStyle name="Normal 207" xfId="2992" xr:uid="{00000000-0005-0000-0000-0000C60B0000}"/>
    <cellStyle name="Normal 207 2" xfId="4998" xr:uid="{00000000-0005-0000-0000-0000C60B0000}"/>
    <cellStyle name="Normal 208" xfId="2993" xr:uid="{00000000-0005-0000-0000-0000C70B0000}"/>
    <cellStyle name="Normal 208 2" xfId="2994" xr:uid="{00000000-0005-0000-0000-0000C80B0000}"/>
    <cellStyle name="Normal 209" xfId="2995" xr:uid="{00000000-0005-0000-0000-0000C90B0000}"/>
    <cellStyle name="Normal 209 2" xfId="2996" xr:uid="{00000000-0005-0000-0000-0000CA0B0000}"/>
    <cellStyle name="Normal 209 2 2" xfId="5000" xr:uid="{00000000-0005-0000-0000-0000CA0B0000}"/>
    <cellStyle name="Normal 209 3" xfId="4999" xr:uid="{00000000-0005-0000-0000-0000C90B0000}"/>
    <cellStyle name="Normal 21" xfId="2997" xr:uid="{00000000-0005-0000-0000-0000CB0B0000}"/>
    <cellStyle name="Normal 21 10" xfId="2998" xr:uid="{00000000-0005-0000-0000-0000CC0B0000}"/>
    <cellStyle name="Normal 21 10 2" xfId="2999" xr:uid="{00000000-0005-0000-0000-0000CD0B0000}"/>
    <cellStyle name="Normal 21 11" xfId="3000" xr:uid="{00000000-0005-0000-0000-0000CE0B0000}"/>
    <cellStyle name="Normal 21 11 2" xfId="3001" xr:uid="{00000000-0005-0000-0000-0000CF0B0000}"/>
    <cellStyle name="Normal 21 12" xfId="3002" xr:uid="{00000000-0005-0000-0000-0000D00B0000}"/>
    <cellStyle name="Normal 21 12 2" xfId="3003" xr:uid="{00000000-0005-0000-0000-0000D10B0000}"/>
    <cellStyle name="Normal 21 13" xfId="3004" xr:uid="{00000000-0005-0000-0000-0000D20B0000}"/>
    <cellStyle name="Normal 21 13 2" xfId="3005" xr:uid="{00000000-0005-0000-0000-0000D30B0000}"/>
    <cellStyle name="Normal 21 14" xfId="3006" xr:uid="{00000000-0005-0000-0000-0000D40B0000}"/>
    <cellStyle name="Normal 21 14 2" xfId="3007" xr:uid="{00000000-0005-0000-0000-0000D50B0000}"/>
    <cellStyle name="Normal 21 15" xfId="3008" xr:uid="{00000000-0005-0000-0000-0000D60B0000}"/>
    <cellStyle name="Normal 21 15 2" xfId="3009" xr:uid="{00000000-0005-0000-0000-0000D70B0000}"/>
    <cellStyle name="Normal 21 16" xfId="3010" xr:uid="{00000000-0005-0000-0000-0000D80B0000}"/>
    <cellStyle name="Normal 21 16 2" xfId="3011" xr:uid="{00000000-0005-0000-0000-0000D90B0000}"/>
    <cellStyle name="Normal 21 17" xfId="3012" xr:uid="{00000000-0005-0000-0000-0000DA0B0000}"/>
    <cellStyle name="Normal 21 17 2" xfId="3013" xr:uid="{00000000-0005-0000-0000-0000DB0B0000}"/>
    <cellStyle name="Normal 21 18" xfId="3014" xr:uid="{00000000-0005-0000-0000-0000DC0B0000}"/>
    <cellStyle name="Normal 21 18 2" xfId="3015" xr:uid="{00000000-0005-0000-0000-0000DD0B0000}"/>
    <cellStyle name="Normal 21 19" xfId="3016" xr:uid="{00000000-0005-0000-0000-0000DE0B0000}"/>
    <cellStyle name="Normal 21 19 2" xfId="3017" xr:uid="{00000000-0005-0000-0000-0000DF0B0000}"/>
    <cellStyle name="Normal 21 2" xfId="3018" xr:uid="{00000000-0005-0000-0000-0000E00B0000}"/>
    <cellStyle name="Normal 21 2 2" xfId="3019" xr:uid="{00000000-0005-0000-0000-0000E10B0000}"/>
    <cellStyle name="Normal 21 20" xfId="3020" xr:uid="{00000000-0005-0000-0000-0000E20B0000}"/>
    <cellStyle name="Normal 21 20 2" xfId="3021" xr:uid="{00000000-0005-0000-0000-0000E30B0000}"/>
    <cellStyle name="Normal 21 21" xfId="3022" xr:uid="{00000000-0005-0000-0000-0000E40B0000}"/>
    <cellStyle name="Normal 21 21 2" xfId="3023" xr:uid="{00000000-0005-0000-0000-0000E50B0000}"/>
    <cellStyle name="Normal 21 22" xfId="3024" xr:uid="{00000000-0005-0000-0000-0000E60B0000}"/>
    <cellStyle name="Normal 21 22 2" xfId="3025" xr:uid="{00000000-0005-0000-0000-0000E70B0000}"/>
    <cellStyle name="Normal 21 23" xfId="3026" xr:uid="{00000000-0005-0000-0000-0000E80B0000}"/>
    <cellStyle name="Normal 21 23 2" xfId="3027" xr:uid="{00000000-0005-0000-0000-0000E90B0000}"/>
    <cellStyle name="Normal 21 24" xfId="3028" xr:uid="{00000000-0005-0000-0000-0000EA0B0000}"/>
    <cellStyle name="Normal 21 24 2" xfId="3029" xr:uid="{00000000-0005-0000-0000-0000EB0B0000}"/>
    <cellStyle name="Normal 21 25" xfId="3030" xr:uid="{00000000-0005-0000-0000-0000EC0B0000}"/>
    <cellStyle name="Normal 21 25 2" xfId="3031" xr:uid="{00000000-0005-0000-0000-0000ED0B0000}"/>
    <cellStyle name="Normal 21 26" xfId="3032" xr:uid="{00000000-0005-0000-0000-0000EE0B0000}"/>
    <cellStyle name="Normal 21 26 2" xfId="3033" xr:uid="{00000000-0005-0000-0000-0000EF0B0000}"/>
    <cellStyle name="Normal 21 27" xfId="3034" xr:uid="{00000000-0005-0000-0000-0000F00B0000}"/>
    <cellStyle name="Normal 21 27 2" xfId="3035" xr:uid="{00000000-0005-0000-0000-0000F10B0000}"/>
    <cellStyle name="Normal 21 28" xfId="3036" xr:uid="{00000000-0005-0000-0000-0000F20B0000}"/>
    <cellStyle name="Normal 21 28 2" xfId="3037" xr:uid="{00000000-0005-0000-0000-0000F30B0000}"/>
    <cellStyle name="Normal 21 29" xfId="3038" xr:uid="{00000000-0005-0000-0000-0000F40B0000}"/>
    <cellStyle name="Normal 21 29 2" xfId="3039" xr:uid="{00000000-0005-0000-0000-0000F50B0000}"/>
    <cellStyle name="Normal 21 3" xfId="3040" xr:uid="{00000000-0005-0000-0000-0000F60B0000}"/>
    <cellStyle name="Normal 21 3 2" xfId="3041" xr:uid="{00000000-0005-0000-0000-0000F70B0000}"/>
    <cellStyle name="Normal 21 30" xfId="3042" xr:uid="{00000000-0005-0000-0000-0000F80B0000}"/>
    <cellStyle name="Normal 21 30 2" xfId="3043" xr:uid="{00000000-0005-0000-0000-0000F90B0000}"/>
    <cellStyle name="Normal 21 31" xfId="3044" xr:uid="{00000000-0005-0000-0000-0000FA0B0000}"/>
    <cellStyle name="Normal 21 31 2" xfId="3045" xr:uid="{00000000-0005-0000-0000-0000FB0B0000}"/>
    <cellStyle name="Normal 21 32" xfId="3046" xr:uid="{00000000-0005-0000-0000-0000FC0B0000}"/>
    <cellStyle name="Normal 21 32 2" xfId="3047" xr:uid="{00000000-0005-0000-0000-0000FD0B0000}"/>
    <cellStyle name="Normal 21 33" xfId="3048" xr:uid="{00000000-0005-0000-0000-0000FE0B0000}"/>
    <cellStyle name="Normal 21 33 2" xfId="3049" xr:uid="{00000000-0005-0000-0000-0000FF0B0000}"/>
    <cellStyle name="Normal 21 34" xfId="3050" xr:uid="{00000000-0005-0000-0000-0000000C0000}"/>
    <cellStyle name="Normal 21 34 2" xfId="3051" xr:uid="{00000000-0005-0000-0000-0000010C0000}"/>
    <cellStyle name="Normal 21 35" xfId="3052" xr:uid="{00000000-0005-0000-0000-0000020C0000}"/>
    <cellStyle name="Normal 21 35 2" xfId="3053" xr:uid="{00000000-0005-0000-0000-0000030C0000}"/>
    <cellStyle name="Normal 21 36" xfId="3054" xr:uid="{00000000-0005-0000-0000-0000040C0000}"/>
    <cellStyle name="Normal 21 36 2" xfId="3055" xr:uid="{00000000-0005-0000-0000-0000050C0000}"/>
    <cellStyle name="Normal 21 37" xfId="3056" xr:uid="{00000000-0005-0000-0000-0000060C0000}"/>
    <cellStyle name="Normal 21 37 2" xfId="3057" xr:uid="{00000000-0005-0000-0000-0000070C0000}"/>
    <cellStyle name="Normal 21 4" xfId="3058" xr:uid="{00000000-0005-0000-0000-0000080C0000}"/>
    <cellStyle name="Normal 21 4 2" xfId="3059" xr:uid="{00000000-0005-0000-0000-0000090C0000}"/>
    <cellStyle name="Normal 21 5" xfId="3060" xr:uid="{00000000-0005-0000-0000-00000A0C0000}"/>
    <cellStyle name="Normal 21 5 2" xfId="3061" xr:uid="{00000000-0005-0000-0000-00000B0C0000}"/>
    <cellStyle name="Normal 21 6" xfId="3062" xr:uid="{00000000-0005-0000-0000-00000C0C0000}"/>
    <cellStyle name="Normal 21 6 2" xfId="3063" xr:uid="{00000000-0005-0000-0000-00000D0C0000}"/>
    <cellStyle name="Normal 21 7" xfId="3064" xr:uid="{00000000-0005-0000-0000-00000E0C0000}"/>
    <cellStyle name="Normal 21 7 2" xfId="3065" xr:uid="{00000000-0005-0000-0000-00000F0C0000}"/>
    <cellStyle name="Normal 21 8" xfId="3066" xr:uid="{00000000-0005-0000-0000-0000100C0000}"/>
    <cellStyle name="Normal 21 8 2" xfId="3067" xr:uid="{00000000-0005-0000-0000-0000110C0000}"/>
    <cellStyle name="Normal 21 9" xfId="3068" xr:uid="{00000000-0005-0000-0000-0000120C0000}"/>
    <cellStyle name="Normal 21 9 2" xfId="3069" xr:uid="{00000000-0005-0000-0000-0000130C0000}"/>
    <cellStyle name="Normal 21_Configurations FSC" xfId="3070" xr:uid="{00000000-0005-0000-0000-0000140C0000}"/>
    <cellStyle name="Normal 210" xfId="3071" xr:uid="{00000000-0005-0000-0000-0000150C0000}"/>
    <cellStyle name="Normal 211" xfId="3072" xr:uid="{00000000-0005-0000-0000-0000160C0000}"/>
    <cellStyle name="Normal 212" xfId="3073" xr:uid="{00000000-0005-0000-0000-0000170C0000}"/>
    <cellStyle name="Normal 213" xfId="3074" xr:uid="{00000000-0005-0000-0000-0000180C0000}"/>
    <cellStyle name="Normal 214" xfId="3075" xr:uid="{00000000-0005-0000-0000-0000190C0000}"/>
    <cellStyle name="Normal 215" xfId="3076" xr:uid="{00000000-0005-0000-0000-00001A0C0000}"/>
    <cellStyle name="Normal 216" xfId="3077" xr:uid="{00000000-0005-0000-0000-00001B0C0000}"/>
    <cellStyle name="Normal 217" xfId="3078" xr:uid="{00000000-0005-0000-0000-00001C0C0000}"/>
    <cellStyle name="Normal 218" xfId="3079" xr:uid="{00000000-0005-0000-0000-00001D0C0000}"/>
    <cellStyle name="Normal 219" xfId="3080" xr:uid="{00000000-0005-0000-0000-00001E0C0000}"/>
    <cellStyle name="Normal 22" xfId="3081" xr:uid="{00000000-0005-0000-0000-00001F0C0000}"/>
    <cellStyle name="Normal 220" xfId="3082" xr:uid="{00000000-0005-0000-0000-0000200C0000}"/>
    <cellStyle name="Normal 221" xfId="3083" xr:uid="{00000000-0005-0000-0000-0000210C0000}"/>
    <cellStyle name="Normal 222" xfId="3084" xr:uid="{00000000-0005-0000-0000-0000220C0000}"/>
    <cellStyle name="Normal 223" xfId="3085" xr:uid="{00000000-0005-0000-0000-0000230C0000}"/>
    <cellStyle name="Normal 224" xfId="3086" xr:uid="{00000000-0005-0000-0000-0000240C0000}"/>
    <cellStyle name="Normal 225" xfId="3087" xr:uid="{00000000-0005-0000-0000-0000250C0000}"/>
    <cellStyle name="Normal 226" xfId="3088" xr:uid="{00000000-0005-0000-0000-0000260C0000}"/>
    <cellStyle name="Normal 227" xfId="3089" xr:uid="{00000000-0005-0000-0000-0000270C0000}"/>
    <cellStyle name="Normal 228" xfId="3090" xr:uid="{00000000-0005-0000-0000-0000280C0000}"/>
    <cellStyle name="Normal 229" xfId="3091" xr:uid="{00000000-0005-0000-0000-0000290C0000}"/>
    <cellStyle name="Normal 23" xfId="3092" xr:uid="{00000000-0005-0000-0000-00002A0C0000}"/>
    <cellStyle name="Normal 23 10" xfId="3093" xr:uid="{00000000-0005-0000-0000-00002B0C0000}"/>
    <cellStyle name="Normal 23 10 2" xfId="3094" xr:uid="{00000000-0005-0000-0000-00002C0C0000}"/>
    <cellStyle name="Normal 23 11" xfId="3095" xr:uid="{00000000-0005-0000-0000-00002D0C0000}"/>
    <cellStyle name="Normal 23 11 2" xfId="3096" xr:uid="{00000000-0005-0000-0000-00002E0C0000}"/>
    <cellStyle name="Normal 23 12" xfId="3097" xr:uid="{00000000-0005-0000-0000-00002F0C0000}"/>
    <cellStyle name="Normal 23 12 2" xfId="3098" xr:uid="{00000000-0005-0000-0000-0000300C0000}"/>
    <cellStyle name="Normal 23 13" xfId="3099" xr:uid="{00000000-0005-0000-0000-0000310C0000}"/>
    <cellStyle name="Normal 23 13 2" xfId="3100" xr:uid="{00000000-0005-0000-0000-0000320C0000}"/>
    <cellStyle name="Normal 23 14" xfId="3101" xr:uid="{00000000-0005-0000-0000-0000330C0000}"/>
    <cellStyle name="Normal 23 14 2" xfId="3102" xr:uid="{00000000-0005-0000-0000-0000340C0000}"/>
    <cellStyle name="Normal 23 15" xfId="3103" xr:uid="{00000000-0005-0000-0000-0000350C0000}"/>
    <cellStyle name="Normal 23 15 2" xfId="3104" xr:uid="{00000000-0005-0000-0000-0000360C0000}"/>
    <cellStyle name="Normal 23 16" xfId="3105" xr:uid="{00000000-0005-0000-0000-0000370C0000}"/>
    <cellStyle name="Normal 23 16 2" xfId="3106" xr:uid="{00000000-0005-0000-0000-0000380C0000}"/>
    <cellStyle name="Normal 23 17" xfId="3107" xr:uid="{00000000-0005-0000-0000-0000390C0000}"/>
    <cellStyle name="Normal 23 17 2" xfId="3108" xr:uid="{00000000-0005-0000-0000-00003A0C0000}"/>
    <cellStyle name="Normal 23 18" xfId="3109" xr:uid="{00000000-0005-0000-0000-00003B0C0000}"/>
    <cellStyle name="Normal 23 18 2" xfId="3110" xr:uid="{00000000-0005-0000-0000-00003C0C0000}"/>
    <cellStyle name="Normal 23 19" xfId="3111" xr:uid="{00000000-0005-0000-0000-00003D0C0000}"/>
    <cellStyle name="Normal 23 19 2" xfId="3112" xr:uid="{00000000-0005-0000-0000-00003E0C0000}"/>
    <cellStyle name="Normal 23 2" xfId="3113" xr:uid="{00000000-0005-0000-0000-00003F0C0000}"/>
    <cellStyle name="Normal 23 2 2" xfId="3114" xr:uid="{00000000-0005-0000-0000-0000400C0000}"/>
    <cellStyle name="Normal 23 20" xfId="3115" xr:uid="{00000000-0005-0000-0000-0000410C0000}"/>
    <cellStyle name="Normal 23 20 2" xfId="3116" xr:uid="{00000000-0005-0000-0000-0000420C0000}"/>
    <cellStyle name="Normal 23 21" xfId="3117" xr:uid="{00000000-0005-0000-0000-0000430C0000}"/>
    <cellStyle name="Normal 23 21 2" xfId="3118" xr:uid="{00000000-0005-0000-0000-0000440C0000}"/>
    <cellStyle name="Normal 23 22" xfId="3119" xr:uid="{00000000-0005-0000-0000-0000450C0000}"/>
    <cellStyle name="Normal 23 22 2" xfId="3120" xr:uid="{00000000-0005-0000-0000-0000460C0000}"/>
    <cellStyle name="Normal 23 23" xfId="3121" xr:uid="{00000000-0005-0000-0000-0000470C0000}"/>
    <cellStyle name="Normal 23 23 2" xfId="3122" xr:uid="{00000000-0005-0000-0000-0000480C0000}"/>
    <cellStyle name="Normal 23 24" xfId="3123" xr:uid="{00000000-0005-0000-0000-0000490C0000}"/>
    <cellStyle name="Normal 23 24 2" xfId="3124" xr:uid="{00000000-0005-0000-0000-00004A0C0000}"/>
    <cellStyle name="Normal 23 25" xfId="3125" xr:uid="{00000000-0005-0000-0000-00004B0C0000}"/>
    <cellStyle name="Normal 23 25 2" xfId="3126" xr:uid="{00000000-0005-0000-0000-00004C0C0000}"/>
    <cellStyle name="Normal 23 26" xfId="3127" xr:uid="{00000000-0005-0000-0000-00004D0C0000}"/>
    <cellStyle name="Normal 23 26 2" xfId="3128" xr:uid="{00000000-0005-0000-0000-00004E0C0000}"/>
    <cellStyle name="Normal 23 27" xfId="3129" xr:uid="{00000000-0005-0000-0000-00004F0C0000}"/>
    <cellStyle name="Normal 23 27 2" xfId="3130" xr:uid="{00000000-0005-0000-0000-0000500C0000}"/>
    <cellStyle name="Normal 23 28" xfId="3131" xr:uid="{00000000-0005-0000-0000-0000510C0000}"/>
    <cellStyle name="Normal 23 28 2" xfId="3132" xr:uid="{00000000-0005-0000-0000-0000520C0000}"/>
    <cellStyle name="Normal 23 29" xfId="3133" xr:uid="{00000000-0005-0000-0000-0000530C0000}"/>
    <cellStyle name="Normal 23 29 2" xfId="3134" xr:uid="{00000000-0005-0000-0000-0000540C0000}"/>
    <cellStyle name="Normal 23 3" xfId="3135" xr:uid="{00000000-0005-0000-0000-0000550C0000}"/>
    <cellStyle name="Normal 23 3 2" xfId="3136" xr:uid="{00000000-0005-0000-0000-0000560C0000}"/>
    <cellStyle name="Normal 23 30" xfId="3137" xr:uid="{00000000-0005-0000-0000-0000570C0000}"/>
    <cellStyle name="Normal 23 30 2" xfId="3138" xr:uid="{00000000-0005-0000-0000-0000580C0000}"/>
    <cellStyle name="Normal 23 31" xfId="3139" xr:uid="{00000000-0005-0000-0000-0000590C0000}"/>
    <cellStyle name="Normal 23 31 2" xfId="3140" xr:uid="{00000000-0005-0000-0000-00005A0C0000}"/>
    <cellStyle name="Normal 23 32" xfId="3141" xr:uid="{00000000-0005-0000-0000-00005B0C0000}"/>
    <cellStyle name="Normal 23 32 2" xfId="3142" xr:uid="{00000000-0005-0000-0000-00005C0C0000}"/>
    <cellStyle name="Normal 23 33" xfId="3143" xr:uid="{00000000-0005-0000-0000-00005D0C0000}"/>
    <cellStyle name="Normal 23 33 2" xfId="3144" xr:uid="{00000000-0005-0000-0000-00005E0C0000}"/>
    <cellStyle name="Normal 23 34" xfId="3145" xr:uid="{00000000-0005-0000-0000-00005F0C0000}"/>
    <cellStyle name="Normal 23 34 2" xfId="3146" xr:uid="{00000000-0005-0000-0000-0000600C0000}"/>
    <cellStyle name="Normal 23 35" xfId="3147" xr:uid="{00000000-0005-0000-0000-0000610C0000}"/>
    <cellStyle name="Normal 23 35 2" xfId="3148" xr:uid="{00000000-0005-0000-0000-0000620C0000}"/>
    <cellStyle name="Normal 23 36" xfId="3149" xr:uid="{00000000-0005-0000-0000-0000630C0000}"/>
    <cellStyle name="Normal 23 36 2" xfId="3150" xr:uid="{00000000-0005-0000-0000-0000640C0000}"/>
    <cellStyle name="Normal 23 37" xfId="3151" xr:uid="{00000000-0005-0000-0000-0000650C0000}"/>
    <cellStyle name="Normal 23 37 2" xfId="3152" xr:uid="{00000000-0005-0000-0000-0000660C0000}"/>
    <cellStyle name="Normal 23 4" xfId="3153" xr:uid="{00000000-0005-0000-0000-0000670C0000}"/>
    <cellStyle name="Normal 23 4 2" xfId="3154" xr:uid="{00000000-0005-0000-0000-0000680C0000}"/>
    <cellStyle name="Normal 23 5" xfId="3155" xr:uid="{00000000-0005-0000-0000-0000690C0000}"/>
    <cellStyle name="Normal 23 5 2" xfId="3156" xr:uid="{00000000-0005-0000-0000-00006A0C0000}"/>
    <cellStyle name="Normal 23 6" xfId="3157" xr:uid="{00000000-0005-0000-0000-00006B0C0000}"/>
    <cellStyle name="Normal 23 6 2" xfId="3158" xr:uid="{00000000-0005-0000-0000-00006C0C0000}"/>
    <cellStyle name="Normal 23 7" xfId="3159" xr:uid="{00000000-0005-0000-0000-00006D0C0000}"/>
    <cellStyle name="Normal 23 7 2" xfId="3160" xr:uid="{00000000-0005-0000-0000-00006E0C0000}"/>
    <cellStyle name="Normal 23 8" xfId="3161" xr:uid="{00000000-0005-0000-0000-00006F0C0000}"/>
    <cellStyle name="Normal 23 8 2" xfId="3162" xr:uid="{00000000-0005-0000-0000-0000700C0000}"/>
    <cellStyle name="Normal 23 9" xfId="3163" xr:uid="{00000000-0005-0000-0000-0000710C0000}"/>
    <cellStyle name="Normal 23 9 2" xfId="3164" xr:uid="{00000000-0005-0000-0000-0000720C0000}"/>
    <cellStyle name="Normal 23_Configurations FSC" xfId="3165" xr:uid="{00000000-0005-0000-0000-0000730C0000}"/>
    <cellStyle name="Normal 230" xfId="3166" xr:uid="{00000000-0005-0000-0000-0000740C0000}"/>
    <cellStyle name="Normal 231" xfId="4916" xr:uid="{00000000-0005-0000-0000-0000750C0000}"/>
    <cellStyle name="Normal 231 2" xfId="5062" xr:uid="{00000000-0005-0000-0000-0000750C0000}"/>
    <cellStyle name="Normal 232" xfId="4917" xr:uid="{00000000-0005-0000-0000-0000760C0000}"/>
    <cellStyle name="Normal 232 2" xfId="5063" xr:uid="{00000000-0005-0000-0000-0000760C0000}"/>
    <cellStyle name="Normal 233" xfId="4919" xr:uid="{00000000-0005-0000-0000-0000770C0000}"/>
    <cellStyle name="Normal 233 2" xfId="5065" xr:uid="{00000000-0005-0000-0000-0000770C0000}"/>
    <cellStyle name="Normal 234" xfId="4921" xr:uid="{00000000-0005-0000-0000-0000780C0000}"/>
    <cellStyle name="Normal 234 2" xfId="5067" xr:uid="{00000000-0005-0000-0000-0000780C0000}"/>
    <cellStyle name="Normal 235" xfId="4922" xr:uid="{00000000-0005-0000-0000-0000790C0000}"/>
    <cellStyle name="Normal 235 2" xfId="5068" xr:uid="{00000000-0005-0000-0000-0000790C0000}"/>
    <cellStyle name="Normal 236" xfId="4923" xr:uid="{00000000-0005-0000-0000-00007A0C0000}"/>
    <cellStyle name="Normal 236 2" xfId="5069" xr:uid="{00000000-0005-0000-0000-00007A0C0000}"/>
    <cellStyle name="Normal 237" xfId="4924" xr:uid="{00000000-0005-0000-0000-00007B0C0000}"/>
    <cellStyle name="Normal 237 2" xfId="5070" xr:uid="{00000000-0005-0000-0000-00007B0C0000}"/>
    <cellStyle name="Normal 238" xfId="5075" xr:uid="{45975313-EDE4-4050-BDD0-828B123C258B}"/>
    <cellStyle name="Normal 239" xfId="5078" xr:uid="{82B5E6C6-C7C3-4526-A4EA-838EF83B5B91}"/>
    <cellStyle name="Normal 24" xfId="3167" xr:uid="{00000000-0005-0000-0000-00007C0C0000}"/>
    <cellStyle name="Normal 24 10" xfId="3168" xr:uid="{00000000-0005-0000-0000-00007D0C0000}"/>
    <cellStyle name="Normal 24 10 2" xfId="3169" xr:uid="{00000000-0005-0000-0000-00007E0C0000}"/>
    <cellStyle name="Normal 24 11" xfId="3170" xr:uid="{00000000-0005-0000-0000-00007F0C0000}"/>
    <cellStyle name="Normal 24 11 2" xfId="3171" xr:uid="{00000000-0005-0000-0000-0000800C0000}"/>
    <cellStyle name="Normal 24 12" xfId="3172" xr:uid="{00000000-0005-0000-0000-0000810C0000}"/>
    <cellStyle name="Normal 24 12 2" xfId="3173" xr:uid="{00000000-0005-0000-0000-0000820C0000}"/>
    <cellStyle name="Normal 24 13" xfId="3174" xr:uid="{00000000-0005-0000-0000-0000830C0000}"/>
    <cellStyle name="Normal 24 13 2" xfId="3175" xr:uid="{00000000-0005-0000-0000-0000840C0000}"/>
    <cellStyle name="Normal 24 14" xfId="3176" xr:uid="{00000000-0005-0000-0000-0000850C0000}"/>
    <cellStyle name="Normal 24 14 2" xfId="3177" xr:uid="{00000000-0005-0000-0000-0000860C0000}"/>
    <cellStyle name="Normal 24 15" xfId="3178" xr:uid="{00000000-0005-0000-0000-0000870C0000}"/>
    <cellStyle name="Normal 24 15 2" xfId="3179" xr:uid="{00000000-0005-0000-0000-0000880C0000}"/>
    <cellStyle name="Normal 24 16" xfId="3180" xr:uid="{00000000-0005-0000-0000-0000890C0000}"/>
    <cellStyle name="Normal 24 16 2" xfId="3181" xr:uid="{00000000-0005-0000-0000-00008A0C0000}"/>
    <cellStyle name="Normal 24 17" xfId="3182" xr:uid="{00000000-0005-0000-0000-00008B0C0000}"/>
    <cellStyle name="Normal 24 17 2" xfId="3183" xr:uid="{00000000-0005-0000-0000-00008C0C0000}"/>
    <cellStyle name="Normal 24 18" xfId="3184" xr:uid="{00000000-0005-0000-0000-00008D0C0000}"/>
    <cellStyle name="Normal 24 18 2" xfId="3185" xr:uid="{00000000-0005-0000-0000-00008E0C0000}"/>
    <cellStyle name="Normal 24 19" xfId="3186" xr:uid="{00000000-0005-0000-0000-00008F0C0000}"/>
    <cellStyle name="Normal 24 19 2" xfId="3187" xr:uid="{00000000-0005-0000-0000-0000900C0000}"/>
    <cellStyle name="Normal 24 2" xfId="3188" xr:uid="{00000000-0005-0000-0000-0000910C0000}"/>
    <cellStyle name="Normal 24 2 2" xfId="3189" xr:uid="{00000000-0005-0000-0000-0000920C0000}"/>
    <cellStyle name="Normal 24 20" xfId="3190" xr:uid="{00000000-0005-0000-0000-0000930C0000}"/>
    <cellStyle name="Normal 24 20 2" xfId="3191" xr:uid="{00000000-0005-0000-0000-0000940C0000}"/>
    <cellStyle name="Normal 24 21" xfId="3192" xr:uid="{00000000-0005-0000-0000-0000950C0000}"/>
    <cellStyle name="Normal 24 21 2" xfId="3193" xr:uid="{00000000-0005-0000-0000-0000960C0000}"/>
    <cellStyle name="Normal 24 22" xfId="3194" xr:uid="{00000000-0005-0000-0000-0000970C0000}"/>
    <cellStyle name="Normal 24 22 2" xfId="3195" xr:uid="{00000000-0005-0000-0000-0000980C0000}"/>
    <cellStyle name="Normal 24 23" xfId="3196" xr:uid="{00000000-0005-0000-0000-0000990C0000}"/>
    <cellStyle name="Normal 24 23 2" xfId="3197" xr:uid="{00000000-0005-0000-0000-00009A0C0000}"/>
    <cellStyle name="Normal 24 24" xfId="3198" xr:uid="{00000000-0005-0000-0000-00009B0C0000}"/>
    <cellStyle name="Normal 24 24 2" xfId="3199" xr:uid="{00000000-0005-0000-0000-00009C0C0000}"/>
    <cellStyle name="Normal 24 25" xfId="3200" xr:uid="{00000000-0005-0000-0000-00009D0C0000}"/>
    <cellStyle name="Normal 24 25 2" xfId="3201" xr:uid="{00000000-0005-0000-0000-00009E0C0000}"/>
    <cellStyle name="Normal 24 26" xfId="3202" xr:uid="{00000000-0005-0000-0000-00009F0C0000}"/>
    <cellStyle name="Normal 24 26 2" xfId="3203" xr:uid="{00000000-0005-0000-0000-0000A00C0000}"/>
    <cellStyle name="Normal 24 27" xfId="3204" xr:uid="{00000000-0005-0000-0000-0000A10C0000}"/>
    <cellStyle name="Normal 24 27 2" xfId="3205" xr:uid="{00000000-0005-0000-0000-0000A20C0000}"/>
    <cellStyle name="Normal 24 28" xfId="3206" xr:uid="{00000000-0005-0000-0000-0000A30C0000}"/>
    <cellStyle name="Normal 24 28 2" xfId="3207" xr:uid="{00000000-0005-0000-0000-0000A40C0000}"/>
    <cellStyle name="Normal 24 29" xfId="3208" xr:uid="{00000000-0005-0000-0000-0000A50C0000}"/>
    <cellStyle name="Normal 24 29 2" xfId="3209" xr:uid="{00000000-0005-0000-0000-0000A60C0000}"/>
    <cellStyle name="Normal 24 3" xfId="3210" xr:uid="{00000000-0005-0000-0000-0000A70C0000}"/>
    <cellStyle name="Normal 24 3 2" xfId="3211" xr:uid="{00000000-0005-0000-0000-0000A80C0000}"/>
    <cellStyle name="Normal 24 30" xfId="3212" xr:uid="{00000000-0005-0000-0000-0000A90C0000}"/>
    <cellStyle name="Normal 24 30 2" xfId="3213" xr:uid="{00000000-0005-0000-0000-0000AA0C0000}"/>
    <cellStyle name="Normal 24 31" xfId="3214" xr:uid="{00000000-0005-0000-0000-0000AB0C0000}"/>
    <cellStyle name="Normal 24 31 2" xfId="3215" xr:uid="{00000000-0005-0000-0000-0000AC0C0000}"/>
    <cellStyle name="Normal 24 32" xfId="3216" xr:uid="{00000000-0005-0000-0000-0000AD0C0000}"/>
    <cellStyle name="Normal 24 32 2" xfId="3217" xr:uid="{00000000-0005-0000-0000-0000AE0C0000}"/>
    <cellStyle name="Normal 24 33" xfId="3218" xr:uid="{00000000-0005-0000-0000-0000AF0C0000}"/>
    <cellStyle name="Normal 24 33 2" xfId="3219" xr:uid="{00000000-0005-0000-0000-0000B00C0000}"/>
    <cellStyle name="Normal 24 34" xfId="3220" xr:uid="{00000000-0005-0000-0000-0000B10C0000}"/>
    <cellStyle name="Normal 24 34 2" xfId="3221" xr:uid="{00000000-0005-0000-0000-0000B20C0000}"/>
    <cellStyle name="Normal 24 35" xfId="3222" xr:uid="{00000000-0005-0000-0000-0000B30C0000}"/>
    <cellStyle name="Normal 24 35 2" xfId="3223" xr:uid="{00000000-0005-0000-0000-0000B40C0000}"/>
    <cellStyle name="Normal 24 36" xfId="3224" xr:uid="{00000000-0005-0000-0000-0000B50C0000}"/>
    <cellStyle name="Normal 24 36 2" xfId="3225" xr:uid="{00000000-0005-0000-0000-0000B60C0000}"/>
    <cellStyle name="Normal 24 37" xfId="3226" xr:uid="{00000000-0005-0000-0000-0000B70C0000}"/>
    <cellStyle name="Normal 24 37 2" xfId="3227" xr:uid="{00000000-0005-0000-0000-0000B80C0000}"/>
    <cellStyle name="Normal 24 4" xfId="3228" xr:uid="{00000000-0005-0000-0000-0000B90C0000}"/>
    <cellStyle name="Normal 24 4 2" xfId="3229" xr:uid="{00000000-0005-0000-0000-0000BA0C0000}"/>
    <cellStyle name="Normal 24 5" xfId="3230" xr:uid="{00000000-0005-0000-0000-0000BB0C0000}"/>
    <cellStyle name="Normal 24 5 2" xfId="3231" xr:uid="{00000000-0005-0000-0000-0000BC0C0000}"/>
    <cellStyle name="Normal 24 6" xfId="3232" xr:uid="{00000000-0005-0000-0000-0000BD0C0000}"/>
    <cellStyle name="Normal 24 6 2" xfId="3233" xr:uid="{00000000-0005-0000-0000-0000BE0C0000}"/>
    <cellStyle name="Normal 24 7" xfId="3234" xr:uid="{00000000-0005-0000-0000-0000BF0C0000}"/>
    <cellStyle name="Normal 24 7 2" xfId="3235" xr:uid="{00000000-0005-0000-0000-0000C00C0000}"/>
    <cellStyle name="Normal 24 8" xfId="3236" xr:uid="{00000000-0005-0000-0000-0000C10C0000}"/>
    <cellStyle name="Normal 24 8 2" xfId="3237" xr:uid="{00000000-0005-0000-0000-0000C20C0000}"/>
    <cellStyle name="Normal 24 9" xfId="3238" xr:uid="{00000000-0005-0000-0000-0000C30C0000}"/>
    <cellStyle name="Normal 24 9 2" xfId="3239" xr:uid="{00000000-0005-0000-0000-0000C40C0000}"/>
    <cellStyle name="Normal 24_Configurations FSC" xfId="3240" xr:uid="{00000000-0005-0000-0000-0000C50C0000}"/>
    <cellStyle name="Normal 240" xfId="5081" xr:uid="{C72E919D-8337-4719-8460-171427062691}"/>
    <cellStyle name="Normal 241" xfId="5082" xr:uid="{6A201430-582C-40A2-8A34-EF05D63CE65A}"/>
    <cellStyle name="Normal 25" xfId="3241" xr:uid="{00000000-0005-0000-0000-0000C60C0000}"/>
    <cellStyle name="Normal 25 10" xfId="3242" xr:uid="{00000000-0005-0000-0000-0000C70C0000}"/>
    <cellStyle name="Normal 25 10 2" xfId="3243" xr:uid="{00000000-0005-0000-0000-0000C80C0000}"/>
    <cellStyle name="Normal 25 11" xfId="3244" xr:uid="{00000000-0005-0000-0000-0000C90C0000}"/>
    <cellStyle name="Normal 25 11 2" xfId="3245" xr:uid="{00000000-0005-0000-0000-0000CA0C0000}"/>
    <cellStyle name="Normal 25 12" xfId="3246" xr:uid="{00000000-0005-0000-0000-0000CB0C0000}"/>
    <cellStyle name="Normal 25 12 2" xfId="3247" xr:uid="{00000000-0005-0000-0000-0000CC0C0000}"/>
    <cellStyle name="Normal 25 13" xfId="3248" xr:uid="{00000000-0005-0000-0000-0000CD0C0000}"/>
    <cellStyle name="Normal 25 13 2" xfId="3249" xr:uid="{00000000-0005-0000-0000-0000CE0C0000}"/>
    <cellStyle name="Normal 25 14" xfId="3250" xr:uid="{00000000-0005-0000-0000-0000CF0C0000}"/>
    <cellStyle name="Normal 25 14 2" xfId="3251" xr:uid="{00000000-0005-0000-0000-0000D00C0000}"/>
    <cellStyle name="Normal 25 15" xfId="3252" xr:uid="{00000000-0005-0000-0000-0000D10C0000}"/>
    <cellStyle name="Normal 25 15 2" xfId="3253" xr:uid="{00000000-0005-0000-0000-0000D20C0000}"/>
    <cellStyle name="Normal 25 16" xfId="3254" xr:uid="{00000000-0005-0000-0000-0000D30C0000}"/>
    <cellStyle name="Normal 25 16 2" xfId="3255" xr:uid="{00000000-0005-0000-0000-0000D40C0000}"/>
    <cellStyle name="Normal 25 17" xfId="3256" xr:uid="{00000000-0005-0000-0000-0000D50C0000}"/>
    <cellStyle name="Normal 25 17 2" xfId="3257" xr:uid="{00000000-0005-0000-0000-0000D60C0000}"/>
    <cellStyle name="Normal 25 18" xfId="3258" xr:uid="{00000000-0005-0000-0000-0000D70C0000}"/>
    <cellStyle name="Normal 25 18 2" xfId="3259" xr:uid="{00000000-0005-0000-0000-0000D80C0000}"/>
    <cellStyle name="Normal 25 19" xfId="3260" xr:uid="{00000000-0005-0000-0000-0000D90C0000}"/>
    <cellStyle name="Normal 25 19 2" xfId="3261" xr:uid="{00000000-0005-0000-0000-0000DA0C0000}"/>
    <cellStyle name="Normal 25 2" xfId="3262" xr:uid="{00000000-0005-0000-0000-0000DB0C0000}"/>
    <cellStyle name="Normal 25 2 2" xfId="3263" xr:uid="{00000000-0005-0000-0000-0000DC0C0000}"/>
    <cellStyle name="Normal 25 20" xfId="3264" xr:uid="{00000000-0005-0000-0000-0000DD0C0000}"/>
    <cellStyle name="Normal 25 20 2" xfId="3265" xr:uid="{00000000-0005-0000-0000-0000DE0C0000}"/>
    <cellStyle name="Normal 25 21" xfId="3266" xr:uid="{00000000-0005-0000-0000-0000DF0C0000}"/>
    <cellStyle name="Normal 25 21 2" xfId="3267" xr:uid="{00000000-0005-0000-0000-0000E00C0000}"/>
    <cellStyle name="Normal 25 22" xfId="3268" xr:uid="{00000000-0005-0000-0000-0000E10C0000}"/>
    <cellStyle name="Normal 25 22 2" xfId="3269" xr:uid="{00000000-0005-0000-0000-0000E20C0000}"/>
    <cellStyle name="Normal 25 23" xfId="3270" xr:uid="{00000000-0005-0000-0000-0000E30C0000}"/>
    <cellStyle name="Normal 25 23 2" xfId="3271" xr:uid="{00000000-0005-0000-0000-0000E40C0000}"/>
    <cellStyle name="Normal 25 24" xfId="3272" xr:uid="{00000000-0005-0000-0000-0000E50C0000}"/>
    <cellStyle name="Normal 25 24 2" xfId="3273" xr:uid="{00000000-0005-0000-0000-0000E60C0000}"/>
    <cellStyle name="Normal 25 25" xfId="3274" xr:uid="{00000000-0005-0000-0000-0000E70C0000}"/>
    <cellStyle name="Normal 25 25 2" xfId="3275" xr:uid="{00000000-0005-0000-0000-0000E80C0000}"/>
    <cellStyle name="Normal 25 26" xfId="3276" xr:uid="{00000000-0005-0000-0000-0000E90C0000}"/>
    <cellStyle name="Normal 25 26 2" xfId="3277" xr:uid="{00000000-0005-0000-0000-0000EA0C0000}"/>
    <cellStyle name="Normal 25 27" xfId="3278" xr:uid="{00000000-0005-0000-0000-0000EB0C0000}"/>
    <cellStyle name="Normal 25 27 2" xfId="3279" xr:uid="{00000000-0005-0000-0000-0000EC0C0000}"/>
    <cellStyle name="Normal 25 28" xfId="3280" xr:uid="{00000000-0005-0000-0000-0000ED0C0000}"/>
    <cellStyle name="Normal 25 28 2" xfId="3281" xr:uid="{00000000-0005-0000-0000-0000EE0C0000}"/>
    <cellStyle name="Normal 25 29" xfId="3282" xr:uid="{00000000-0005-0000-0000-0000EF0C0000}"/>
    <cellStyle name="Normal 25 29 2" xfId="3283" xr:uid="{00000000-0005-0000-0000-0000F00C0000}"/>
    <cellStyle name="Normal 25 3" xfId="3284" xr:uid="{00000000-0005-0000-0000-0000F10C0000}"/>
    <cellStyle name="Normal 25 3 2" xfId="3285" xr:uid="{00000000-0005-0000-0000-0000F20C0000}"/>
    <cellStyle name="Normal 25 30" xfId="3286" xr:uid="{00000000-0005-0000-0000-0000F30C0000}"/>
    <cellStyle name="Normal 25 30 2" xfId="3287" xr:uid="{00000000-0005-0000-0000-0000F40C0000}"/>
    <cellStyle name="Normal 25 31" xfId="3288" xr:uid="{00000000-0005-0000-0000-0000F50C0000}"/>
    <cellStyle name="Normal 25 31 2" xfId="3289" xr:uid="{00000000-0005-0000-0000-0000F60C0000}"/>
    <cellStyle name="Normal 25 32" xfId="3290" xr:uid="{00000000-0005-0000-0000-0000F70C0000}"/>
    <cellStyle name="Normal 25 32 2" xfId="3291" xr:uid="{00000000-0005-0000-0000-0000F80C0000}"/>
    <cellStyle name="Normal 25 33" xfId="3292" xr:uid="{00000000-0005-0000-0000-0000F90C0000}"/>
    <cellStyle name="Normal 25 33 2" xfId="3293" xr:uid="{00000000-0005-0000-0000-0000FA0C0000}"/>
    <cellStyle name="Normal 25 34" xfId="3294" xr:uid="{00000000-0005-0000-0000-0000FB0C0000}"/>
    <cellStyle name="Normal 25 34 2" xfId="3295" xr:uid="{00000000-0005-0000-0000-0000FC0C0000}"/>
    <cellStyle name="Normal 25 35" xfId="3296" xr:uid="{00000000-0005-0000-0000-0000FD0C0000}"/>
    <cellStyle name="Normal 25 35 2" xfId="3297" xr:uid="{00000000-0005-0000-0000-0000FE0C0000}"/>
    <cellStyle name="Normal 25 36" xfId="3298" xr:uid="{00000000-0005-0000-0000-0000FF0C0000}"/>
    <cellStyle name="Normal 25 36 2" xfId="3299" xr:uid="{00000000-0005-0000-0000-0000000D0000}"/>
    <cellStyle name="Normal 25 37" xfId="3300" xr:uid="{00000000-0005-0000-0000-0000010D0000}"/>
    <cellStyle name="Normal 25 37 2" xfId="3301" xr:uid="{00000000-0005-0000-0000-0000020D0000}"/>
    <cellStyle name="Normal 25 4" xfId="3302" xr:uid="{00000000-0005-0000-0000-0000030D0000}"/>
    <cellStyle name="Normal 25 4 2" xfId="3303" xr:uid="{00000000-0005-0000-0000-0000040D0000}"/>
    <cellStyle name="Normal 25 5" xfId="3304" xr:uid="{00000000-0005-0000-0000-0000050D0000}"/>
    <cellStyle name="Normal 25 5 2" xfId="3305" xr:uid="{00000000-0005-0000-0000-0000060D0000}"/>
    <cellStyle name="Normal 25 6" xfId="3306" xr:uid="{00000000-0005-0000-0000-0000070D0000}"/>
    <cellStyle name="Normal 25 6 2" xfId="3307" xr:uid="{00000000-0005-0000-0000-0000080D0000}"/>
    <cellStyle name="Normal 25 7" xfId="3308" xr:uid="{00000000-0005-0000-0000-0000090D0000}"/>
    <cellStyle name="Normal 25 7 2" xfId="3309" xr:uid="{00000000-0005-0000-0000-00000A0D0000}"/>
    <cellStyle name="Normal 25 8" xfId="3310" xr:uid="{00000000-0005-0000-0000-00000B0D0000}"/>
    <cellStyle name="Normal 25 8 2" xfId="3311" xr:uid="{00000000-0005-0000-0000-00000C0D0000}"/>
    <cellStyle name="Normal 25 9" xfId="3312" xr:uid="{00000000-0005-0000-0000-00000D0D0000}"/>
    <cellStyle name="Normal 25 9 2" xfId="3313" xr:uid="{00000000-0005-0000-0000-00000E0D0000}"/>
    <cellStyle name="Normal 25_Configurations FSC" xfId="3314" xr:uid="{00000000-0005-0000-0000-00000F0D0000}"/>
    <cellStyle name="Normal 26" xfId="3315" xr:uid="{00000000-0005-0000-0000-0000100D0000}"/>
    <cellStyle name="Normal 26 2" xfId="3316" xr:uid="{00000000-0005-0000-0000-0000110D0000}"/>
    <cellStyle name="Normal 26 2 2" xfId="3317" xr:uid="{00000000-0005-0000-0000-0000120D0000}"/>
    <cellStyle name="Normal 26 2 2 2" xfId="3318" xr:uid="{00000000-0005-0000-0000-0000130D0000}"/>
    <cellStyle name="Normal 26 3" xfId="3319" xr:uid="{00000000-0005-0000-0000-0000140D0000}"/>
    <cellStyle name="Normal 26 3 2" xfId="3320" xr:uid="{00000000-0005-0000-0000-0000150D0000}"/>
    <cellStyle name="Normal 26 3 2 2" xfId="3321" xr:uid="{00000000-0005-0000-0000-0000160D0000}"/>
    <cellStyle name="Normal 26 4" xfId="3322" xr:uid="{00000000-0005-0000-0000-0000170D0000}"/>
    <cellStyle name="Normal 26 4 2" xfId="3323" xr:uid="{00000000-0005-0000-0000-0000180D0000}"/>
    <cellStyle name="Normal 26 4 2 2" xfId="3324" xr:uid="{00000000-0005-0000-0000-0000190D0000}"/>
    <cellStyle name="Normal 26 5" xfId="3325" xr:uid="{00000000-0005-0000-0000-00001A0D0000}"/>
    <cellStyle name="Normal 26 5 2" xfId="3326" xr:uid="{00000000-0005-0000-0000-00001B0D0000}"/>
    <cellStyle name="Normal 26 5 2 2" xfId="3327" xr:uid="{00000000-0005-0000-0000-00001C0D0000}"/>
    <cellStyle name="Normal 26 6" xfId="3328" xr:uid="{00000000-0005-0000-0000-00001D0D0000}"/>
    <cellStyle name="Normal 26 6 2" xfId="3329" xr:uid="{00000000-0005-0000-0000-00001E0D0000}"/>
    <cellStyle name="Normal 26 6 2 2" xfId="3330" xr:uid="{00000000-0005-0000-0000-00001F0D0000}"/>
    <cellStyle name="Normal 26_Configurations FSC" xfId="3331" xr:uid="{00000000-0005-0000-0000-0000200D0000}"/>
    <cellStyle name="Normal 27" xfId="3332" xr:uid="{00000000-0005-0000-0000-0000210D0000}"/>
    <cellStyle name="Normal 28" xfId="3333" xr:uid="{00000000-0005-0000-0000-0000220D0000}"/>
    <cellStyle name="Normal 28 10" xfId="3334" xr:uid="{00000000-0005-0000-0000-0000230D0000}"/>
    <cellStyle name="Normal 28 10 2" xfId="3335" xr:uid="{00000000-0005-0000-0000-0000240D0000}"/>
    <cellStyle name="Normal 28 11" xfId="3336" xr:uid="{00000000-0005-0000-0000-0000250D0000}"/>
    <cellStyle name="Normal 28 11 2" xfId="3337" xr:uid="{00000000-0005-0000-0000-0000260D0000}"/>
    <cellStyle name="Normal 28 12" xfId="3338" xr:uid="{00000000-0005-0000-0000-0000270D0000}"/>
    <cellStyle name="Normal 28 12 2" xfId="3339" xr:uid="{00000000-0005-0000-0000-0000280D0000}"/>
    <cellStyle name="Normal 28 13" xfId="3340" xr:uid="{00000000-0005-0000-0000-0000290D0000}"/>
    <cellStyle name="Normal 28 13 2" xfId="3341" xr:uid="{00000000-0005-0000-0000-00002A0D0000}"/>
    <cellStyle name="Normal 28 14" xfId="3342" xr:uid="{00000000-0005-0000-0000-00002B0D0000}"/>
    <cellStyle name="Normal 28 14 2" xfId="3343" xr:uid="{00000000-0005-0000-0000-00002C0D0000}"/>
    <cellStyle name="Normal 28 15" xfId="3344" xr:uid="{00000000-0005-0000-0000-00002D0D0000}"/>
    <cellStyle name="Normal 28 15 2" xfId="3345" xr:uid="{00000000-0005-0000-0000-00002E0D0000}"/>
    <cellStyle name="Normal 28 16" xfId="3346" xr:uid="{00000000-0005-0000-0000-00002F0D0000}"/>
    <cellStyle name="Normal 28 16 2" xfId="3347" xr:uid="{00000000-0005-0000-0000-0000300D0000}"/>
    <cellStyle name="Normal 28 17" xfId="3348" xr:uid="{00000000-0005-0000-0000-0000310D0000}"/>
    <cellStyle name="Normal 28 17 2" xfId="3349" xr:uid="{00000000-0005-0000-0000-0000320D0000}"/>
    <cellStyle name="Normal 28 18" xfId="3350" xr:uid="{00000000-0005-0000-0000-0000330D0000}"/>
    <cellStyle name="Normal 28 18 2" xfId="3351" xr:uid="{00000000-0005-0000-0000-0000340D0000}"/>
    <cellStyle name="Normal 28 19" xfId="3352" xr:uid="{00000000-0005-0000-0000-0000350D0000}"/>
    <cellStyle name="Normal 28 19 2" xfId="3353" xr:uid="{00000000-0005-0000-0000-0000360D0000}"/>
    <cellStyle name="Normal 28 2" xfId="3354" xr:uid="{00000000-0005-0000-0000-0000370D0000}"/>
    <cellStyle name="Normal 28 2 2" xfId="3355" xr:uid="{00000000-0005-0000-0000-0000380D0000}"/>
    <cellStyle name="Normal 28 20" xfId="3356" xr:uid="{00000000-0005-0000-0000-0000390D0000}"/>
    <cellStyle name="Normal 28 20 2" xfId="3357" xr:uid="{00000000-0005-0000-0000-00003A0D0000}"/>
    <cellStyle name="Normal 28 21" xfId="3358" xr:uid="{00000000-0005-0000-0000-00003B0D0000}"/>
    <cellStyle name="Normal 28 21 2" xfId="3359" xr:uid="{00000000-0005-0000-0000-00003C0D0000}"/>
    <cellStyle name="Normal 28 22" xfId="3360" xr:uid="{00000000-0005-0000-0000-00003D0D0000}"/>
    <cellStyle name="Normal 28 22 2" xfId="3361" xr:uid="{00000000-0005-0000-0000-00003E0D0000}"/>
    <cellStyle name="Normal 28 23" xfId="3362" xr:uid="{00000000-0005-0000-0000-00003F0D0000}"/>
    <cellStyle name="Normal 28 23 2" xfId="3363" xr:uid="{00000000-0005-0000-0000-0000400D0000}"/>
    <cellStyle name="Normal 28 24" xfId="3364" xr:uid="{00000000-0005-0000-0000-0000410D0000}"/>
    <cellStyle name="Normal 28 24 2" xfId="3365" xr:uid="{00000000-0005-0000-0000-0000420D0000}"/>
    <cellStyle name="Normal 28 25" xfId="3366" xr:uid="{00000000-0005-0000-0000-0000430D0000}"/>
    <cellStyle name="Normal 28 25 2" xfId="3367" xr:uid="{00000000-0005-0000-0000-0000440D0000}"/>
    <cellStyle name="Normal 28 26" xfId="3368" xr:uid="{00000000-0005-0000-0000-0000450D0000}"/>
    <cellStyle name="Normal 28 26 2" xfId="3369" xr:uid="{00000000-0005-0000-0000-0000460D0000}"/>
    <cellStyle name="Normal 28 27" xfId="3370" xr:uid="{00000000-0005-0000-0000-0000470D0000}"/>
    <cellStyle name="Normal 28 27 2" xfId="3371" xr:uid="{00000000-0005-0000-0000-0000480D0000}"/>
    <cellStyle name="Normal 28 28" xfId="3372" xr:uid="{00000000-0005-0000-0000-0000490D0000}"/>
    <cellStyle name="Normal 28 28 2" xfId="3373" xr:uid="{00000000-0005-0000-0000-00004A0D0000}"/>
    <cellStyle name="Normal 28 29" xfId="3374" xr:uid="{00000000-0005-0000-0000-00004B0D0000}"/>
    <cellStyle name="Normal 28 29 2" xfId="3375" xr:uid="{00000000-0005-0000-0000-00004C0D0000}"/>
    <cellStyle name="Normal 28 3" xfId="3376" xr:uid="{00000000-0005-0000-0000-00004D0D0000}"/>
    <cellStyle name="Normal 28 3 2" xfId="3377" xr:uid="{00000000-0005-0000-0000-00004E0D0000}"/>
    <cellStyle name="Normal 28 30" xfId="3378" xr:uid="{00000000-0005-0000-0000-00004F0D0000}"/>
    <cellStyle name="Normal 28 30 2" xfId="3379" xr:uid="{00000000-0005-0000-0000-0000500D0000}"/>
    <cellStyle name="Normal 28 31" xfId="3380" xr:uid="{00000000-0005-0000-0000-0000510D0000}"/>
    <cellStyle name="Normal 28 31 2" xfId="3381" xr:uid="{00000000-0005-0000-0000-0000520D0000}"/>
    <cellStyle name="Normal 28 32" xfId="3382" xr:uid="{00000000-0005-0000-0000-0000530D0000}"/>
    <cellStyle name="Normal 28 32 2" xfId="3383" xr:uid="{00000000-0005-0000-0000-0000540D0000}"/>
    <cellStyle name="Normal 28 33" xfId="3384" xr:uid="{00000000-0005-0000-0000-0000550D0000}"/>
    <cellStyle name="Normal 28 33 2" xfId="3385" xr:uid="{00000000-0005-0000-0000-0000560D0000}"/>
    <cellStyle name="Normal 28 34" xfId="3386" xr:uid="{00000000-0005-0000-0000-0000570D0000}"/>
    <cellStyle name="Normal 28 34 2" xfId="3387" xr:uid="{00000000-0005-0000-0000-0000580D0000}"/>
    <cellStyle name="Normal 28 35" xfId="3388" xr:uid="{00000000-0005-0000-0000-0000590D0000}"/>
    <cellStyle name="Normal 28 35 2" xfId="3389" xr:uid="{00000000-0005-0000-0000-00005A0D0000}"/>
    <cellStyle name="Normal 28 4" xfId="3390" xr:uid="{00000000-0005-0000-0000-00005B0D0000}"/>
    <cellStyle name="Normal 28 4 2" xfId="3391" xr:uid="{00000000-0005-0000-0000-00005C0D0000}"/>
    <cellStyle name="Normal 28 5" xfId="3392" xr:uid="{00000000-0005-0000-0000-00005D0D0000}"/>
    <cellStyle name="Normal 28 5 2" xfId="3393" xr:uid="{00000000-0005-0000-0000-00005E0D0000}"/>
    <cellStyle name="Normal 28 6" xfId="3394" xr:uid="{00000000-0005-0000-0000-00005F0D0000}"/>
    <cellStyle name="Normal 28 6 2" xfId="3395" xr:uid="{00000000-0005-0000-0000-0000600D0000}"/>
    <cellStyle name="Normal 28 7" xfId="3396" xr:uid="{00000000-0005-0000-0000-0000610D0000}"/>
    <cellStyle name="Normal 28 7 2" xfId="3397" xr:uid="{00000000-0005-0000-0000-0000620D0000}"/>
    <cellStyle name="Normal 28 8" xfId="3398" xr:uid="{00000000-0005-0000-0000-0000630D0000}"/>
    <cellStyle name="Normal 28 8 2" xfId="3399" xr:uid="{00000000-0005-0000-0000-0000640D0000}"/>
    <cellStyle name="Normal 28 9" xfId="3400" xr:uid="{00000000-0005-0000-0000-0000650D0000}"/>
    <cellStyle name="Normal 28 9 2" xfId="3401" xr:uid="{00000000-0005-0000-0000-0000660D0000}"/>
    <cellStyle name="Normal 28__new_Intel Hardware Basket" xfId="3402" xr:uid="{00000000-0005-0000-0000-0000670D0000}"/>
    <cellStyle name="Normal 29" xfId="3403" xr:uid="{00000000-0005-0000-0000-0000680D0000}"/>
    <cellStyle name="Normal 3" xfId="3404" xr:uid="{00000000-0005-0000-0000-0000690D0000}"/>
    <cellStyle name="Normal 3 2" xfId="3405" xr:uid="{00000000-0005-0000-0000-00006A0D0000}"/>
    <cellStyle name="Normal 3 2 2" xfId="3406" xr:uid="{00000000-0005-0000-0000-00006B0D0000}"/>
    <cellStyle name="Normal 3 3" xfId="3407" xr:uid="{00000000-0005-0000-0000-00006C0D0000}"/>
    <cellStyle name="Normal 3 3 2" xfId="3408" xr:uid="{00000000-0005-0000-0000-00006D0D0000}"/>
    <cellStyle name="Normal 3 4" xfId="3409" xr:uid="{00000000-0005-0000-0000-00006E0D0000}"/>
    <cellStyle name="Normal 3 4 2" xfId="3410" xr:uid="{00000000-0005-0000-0000-00006F0D0000}"/>
    <cellStyle name="Normal 3 5" xfId="3411" xr:uid="{00000000-0005-0000-0000-0000700D0000}"/>
    <cellStyle name="Normal 3 5 2" xfId="3412" xr:uid="{00000000-0005-0000-0000-0000710D0000}"/>
    <cellStyle name="Normal 3 6" xfId="3413" xr:uid="{00000000-0005-0000-0000-0000720D0000}"/>
    <cellStyle name="Normal 3_- - # IBM Response to Atos x86 eBidding_2011.11.25_mod.Hackl" xfId="3414" xr:uid="{00000000-0005-0000-0000-0000730D0000}"/>
    <cellStyle name="Normal 30" xfId="3415" xr:uid="{00000000-0005-0000-0000-0000740D0000}"/>
    <cellStyle name="Normal 31" xfId="3416" xr:uid="{00000000-0005-0000-0000-0000750D0000}"/>
    <cellStyle name="Normal 32" xfId="3417" xr:uid="{00000000-0005-0000-0000-0000760D0000}"/>
    <cellStyle name="Normal 33" xfId="3418" xr:uid="{00000000-0005-0000-0000-0000770D0000}"/>
    <cellStyle name="Normal 34" xfId="3419" xr:uid="{00000000-0005-0000-0000-0000780D0000}"/>
    <cellStyle name="Normal 35" xfId="3420" xr:uid="{00000000-0005-0000-0000-0000790D0000}"/>
    <cellStyle name="Normal 36" xfId="3421" xr:uid="{00000000-0005-0000-0000-00007A0D0000}"/>
    <cellStyle name="Normal 36 2" xfId="3422" xr:uid="{00000000-0005-0000-0000-00007B0D0000}"/>
    <cellStyle name="Normal 36 2 2" xfId="3423" xr:uid="{00000000-0005-0000-0000-00007C0D0000}"/>
    <cellStyle name="Normal 36 2 2 2" xfId="3424" xr:uid="{00000000-0005-0000-0000-00007D0D0000}"/>
    <cellStyle name="Normal 36 3" xfId="3425" xr:uid="{00000000-0005-0000-0000-00007E0D0000}"/>
    <cellStyle name="Normal 36 3 2" xfId="3426" xr:uid="{00000000-0005-0000-0000-00007F0D0000}"/>
    <cellStyle name="Normal 36 3 2 2" xfId="3427" xr:uid="{00000000-0005-0000-0000-0000800D0000}"/>
    <cellStyle name="Normal 36 4" xfId="3428" xr:uid="{00000000-0005-0000-0000-0000810D0000}"/>
    <cellStyle name="Normal 36 4 2" xfId="3429" xr:uid="{00000000-0005-0000-0000-0000820D0000}"/>
    <cellStyle name="Normal 36 4 2 2" xfId="3430" xr:uid="{00000000-0005-0000-0000-0000830D0000}"/>
    <cellStyle name="Normal 36 5" xfId="3431" xr:uid="{00000000-0005-0000-0000-0000840D0000}"/>
    <cellStyle name="Normal 36 5 2" xfId="3432" xr:uid="{00000000-0005-0000-0000-0000850D0000}"/>
    <cellStyle name="Normal 36 5 2 2" xfId="3433" xr:uid="{00000000-0005-0000-0000-0000860D0000}"/>
    <cellStyle name="Normal 36 6" xfId="3434" xr:uid="{00000000-0005-0000-0000-0000870D0000}"/>
    <cellStyle name="Normal 36 6 2" xfId="3435" xr:uid="{00000000-0005-0000-0000-0000880D0000}"/>
    <cellStyle name="Normal 36 6 2 2" xfId="3436" xr:uid="{00000000-0005-0000-0000-0000890D0000}"/>
    <cellStyle name="Normal 36 7" xfId="3437" xr:uid="{00000000-0005-0000-0000-00008A0D0000}"/>
    <cellStyle name="Normal 36_Configurations FSC" xfId="3438" xr:uid="{00000000-0005-0000-0000-00008B0D0000}"/>
    <cellStyle name="Normal 37" xfId="3439" xr:uid="{00000000-0005-0000-0000-00008C0D0000}"/>
    <cellStyle name="Normal 37 2" xfId="3440" xr:uid="{00000000-0005-0000-0000-00008D0D0000}"/>
    <cellStyle name="Normal 37 2 2" xfId="3441" xr:uid="{00000000-0005-0000-0000-00008E0D0000}"/>
    <cellStyle name="Normal 38" xfId="3442" xr:uid="{00000000-0005-0000-0000-00008F0D0000}"/>
    <cellStyle name="Normal 38 2" xfId="3443" xr:uid="{00000000-0005-0000-0000-0000900D0000}"/>
    <cellStyle name="Normal 38 2 2" xfId="3444" xr:uid="{00000000-0005-0000-0000-0000910D0000}"/>
    <cellStyle name="Normal 39" xfId="3445" xr:uid="{00000000-0005-0000-0000-0000920D0000}"/>
    <cellStyle name="Normal 39 2" xfId="3446" xr:uid="{00000000-0005-0000-0000-0000930D0000}"/>
    <cellStyle name="Normal 39 2 2" xfId="3447" xr:uid="{00000000-0005-0000-0000-0000940D0000}"/>
    <cellStyle name="Normal 4" xfId="3448" xr:uid="{00000000-0005-0000-0000-0000950D0000}"/>
    <cellStyle name="Normal 4 2" xfId="3449" xr:uid="{00000000-0005-0000-0000-0000960D0000}"/>
    <cellStyle name="Normal 4 2 2" xfId="3450" xr:uid="{00000000-0005-0000-0000-0000970D0000}"/>
    <cellStyle name="Normal 4 3" xfId="3451" xr:uid="{00000000-0005-0000-0000-0000980D0000}"/>
    <cellStyle name="Normal 4 3 2" xfId="3452" xr:uid="{00000000-0005-0000-0000-0000990D0000}"/>
    <cellStyle name="Normal 4 4" xfId="3453" xr:uid="{00000000-0005-0000-0000-00009A0D0000}"/>
    <cellStyle name="Normal 4 4 2" xfId="3454" xr:uid="{00000000-0005-0000-0000-00009B0D0000}"/>
    <cellStyle name="Normal 4 5" xfId="3455" xr:uid="{00000000-0005-0000-0000-00009C0D0000}"/>
    <cellStyle name="Normal 4_2010-06-01_Intel Server Basket_HP May 2010 (2)" xfId="3456" xr:uid="{00000000-0005-0000-0000-00009D0D0000}"/>
    <cellStyle name="Normal 40" xfId="3457" xr:uid="{00000000-0005-0000-0000-00009E0D0000}"/>
    <cellStyle name="Normal 40 2" xfId="3458" xr:uid="{00000000-0005-0000-0000-00009F0D0000}"/>
    <cellStyle name="Normal 40 2 2" xfId="3459" xr:uid="{00000000-0005-0000-0000-0000A00D0000}"/>
    <cellStyle name="Normal 41" xfId="3460" xr:uid="{00000000-0005-0000-0000-0000A10D0000}"/>
    <cellStyle name="Normal 41 2" xfId="3461" xr:uid="{00000000-0005-0000-0000-0000A20D0000}"/>
    <cellStyle name="Normal 41 2 2" xfId="3462" xr:uid="{00000000-0005-0000-0000-0000A30D0000}"/>
    <cellStyle name="Normal 42" xfId="3463" xr:uid="{00000000-0005-0000-0000-0000A40D0000}"/>
    <cellStyle name="Normal 42 2" xfId="3464" xr:uid="{00000000-0005-0000-0000-0000A50D0000}"/>
    <cellStyle name="Normal 42 2 2" xfId="3465" xr:uid="{00000000-0005-0000-0000-0000A60D0000}"/>
    <cellStyle name="Normal 43" xfId="3466" xr:uid="{00000000-0005-0000-0000-0000A70D0000}"/>
    <cellStyle name="Normal 43 2" xfId="3467" xr:uid="{00000000-0005-0000-0000-0000A80D0000}"/>
    <cellStyle name="Normal 43 2 2" xfId="3468" xr:uid="{00000000-0005-0000-0000-0000A90D0000}"/>
    <cellStyle name="Normal 44" xfId="3469" xr:uid="{00000000-0005-0000-0000-0000AA0D0000}"/>
    <cellStyle name="Normal 44 2" xfId="3470" xr:uid="{00000000-0005-0000-0000-0000AB0D0000}"/>
    <cellStyle name="Normal 44 2 2" xfId="3471" xr:uid="{00000000-0005-0000-0000-0000AC0D0000}"/>
    <cellStyle name="Normal 45" xfId="3472" xr:uid="{00000000-0005-0000-0000-0000AD0D0000}"/>
    <cellStyle name="Normal 45 2" xfId="3473" xr:uid="{00000000-0005-0000-0000-0000AE0D0000}"/>
    <cellStyle name="Normal 45 2 2" xfId="3474" xr:uid="{00000000-0005-0000-0000-0000AF0D0000}"/>
    <cellStyle name="Normal 45 2 2 2" xfId="3475" xr:uid="{00000000-0005-0000-0000-0000B00D0000}"/>
    <cellStyle name="Normal 45 3" xfId="3476" xr:uid="{00000000-0005-0000-0000-0000B10D0000}"/>
    <cellStyle name="Normal 45 3 2" xfId="3477" xr:uid="{00000000-0005-0000-0000-0000B20D0000}"/>
    <cellStyle name="Normal 45 3 2 2" xfId="3478" xr:uid="{00000000-0005-0000-0000-0000B30D0000}"/>
    <cellStyle name="Normal 45 4" xfId="3479" xr:uid="{00000000-0005-0000-0000-0000B40D0000}"/>
    <cellStyle name="Normal 45 4 2" xfId="3480" xr:uid="{00000000-0005-0000-0000-0000B50D0000}"/>
    <cellStyle name="Normal 45 4 2 2" xfId="3481" xr:uid="{00000000-0005-0000-0000-0000B60D0000}"/>
    <cellStyle name="Normal 45 5" xfId="3482" xr:uid="{00000000-0005-0000-0000-0000B70D0000}"/>
    <cellStyle name="Normal 45 5 2" xfId="3483" xr:uid="{00000000-0005-0000-0000-0000B80D0000}"/>
    <cellStyle name="Normal 45 5 2 2" xfId="3484" xr:uid="{00000000-0005-0000-0000-0000B90D0000}"/>
    <cellStyle name="Normal 45 6" xfId="3485" xr:uid="{00000000-0005-0000-0000-0000BA0D0000}"/>
    <cellStyle name="Normal 45 6 2" xfId="3486" xr:uid="{00000000-0005-0000-0000-0000BB0D0000}"/>
    <cellStyle name="Normal 45 6 2 2" xfId="3487" xr:uid="{00000000-0005-0000-0000-0000BC0D0000}"/>
    <cellStyle name="Normal 45 7" xfId="3488" xr:uid="{00000000-0005-0000-0000-0000BD0D0000}"/>
    <cellStyle name="Normal 45 7 2" xfId="3489" xr:uid="{00000000-0005-0000-0000-0000BE0D0000}"/>
    <cellStyle name="Normal 45_2010-06-01_Intel Server Basket_HP May 2010 (2)" xfId="3490" xr:uid="{00000000-0005-0000-0000-0000BF0D0000}"/>
    <cellStyle name="Normal 46" xfId="3491" xr:uid="{00000000-0005-0000-0000-0000C00D0000}"/>
    <cellStyle name="Normal 46 2" xfId="3492" xr:uid="{00000000-0005-0000-0000-0000C10D0000}"/>
    <cellStyle name="Normal 46 2 2" xfId="3493" xr:uid="{00000000-0005-0000-0000-0000C20D0000}"/>
    <cellStyle name="Normal 47" xfId="3494" xr:uid="{00000000-0005-0000-0000-0000C30D0000}"/>
    <cellStyle name="Normal 47 2" xfId="3495" xr:uid="{00000000-0005-0000-0000-0000C40D0000}"/>
    <cellStyle name="Normal 47 2 2" xfId="3496" xr:uid="{00000000-0005-0000-0000-0000C50D0000}"/>
    <cellStyle name="Normal 48" xfId="3497" xr:uid="{00000000-0005-0000-0000-0000C60D0000}"/>
    <cellStyle name="Normal 48 2" xfId="3498" xr:uid="{00000000-0005-0000-0000-0000C70D0000}"/>
    <cellStyle name="Normal 48 2 2" xfId="3499" xr:uid="{00000000-0005-0000-0000-0000C80D0000}"/>
    <cellStyle name="Normal 49" xfId="3500" xr:uid="{00000000-0005-0000-0000-0000C90D0000}"/>
    <cellStyle name="Normal 49 2" xfId="3501" xr:uid="{00000000-0005-0000-0000-0000CA0D0000}"/>
    <cellStyle name="Normal 49 2 2" xfId="3502" xr:uid="{00000000-0005-0000-0000-0000CB0D0000}"/>
    <cellStyle name="Normal 5" xfId="3503" xr:uid="{00000000-0005-0000-0000-0000CC0D0000}"/>
    <cellStyle name="Normal 5 10" xfId="3504" xr:uid="{00000000-0005-0000-0000-0000CD0D0000}"/>
    <cellStyle name="Normal 5 10 2" xfId="3505" xr:uid="{00000000-0005-0000-0000-0000CE0D0000}"/>
    <cellStyle name="Normal 5 10 2 2" xfId="3506" xr:uid="{00000000-0005-0000-0000-0000CF0D0000}"/>
    <cellStyle name="Normal 5 11" xfId="3507" xr:uid="{00000000-0005-0000-0000-0000D00D0000}"/>
    <cellStyle name="Normal 5 11 2" xfId="3508" xr:uid="{00000000-0005-0000-0000-0000D10D0000}"/>
    <cellStyle name="Normal 5 11 2 2" xfId="3509" xr:uid="{00000000-0005-0000-0000-0000D20D0000}"/>
    <cellStyle name="Normal 5 12" xfId="3510" xr:uid="{00000000-0005-0000-0000-0000D30D0000}"/>
    <cellStyle name="Normal 5 12 2" xfId="3511" xr:uid="{00000000-0005-0000-0000-0000D40D0000}"/>
    <cellStyle name="Normal 5 12 2 2" xfId="3512" xr:uid="{00000000-0005-0000-0000-0000D50D0000}"/>
    <cellStyle name="Normal 5 13" xfId="3513" xr:uid="{00000000-0005-0000-0000-0000D60D0000}"/>
    <cellStyle name="Normal 5 13 2" xfId="3514" xr:uid="{00000000-0005-0000-0000-0000D70D0000}"/>
    <cellStyle name="Normal 5 13 2 2" xfId="3515" xr:uid="{00000000-0005-0000-0000-0000D80D0000}"/>
    <cellStyle name="Normal 5 14" xfId="3516" xr:uid="{00000000-0005-0000-0000-0000D90D0000}"/>
    <cellStyle name="Normal 5 14 2" xfId="3517" xr:uid="{00000000-0005-0000-0000-0000DA0D0000}"/>
    <cellStyle name="Normal 5 14 2 2" xfId="3518" xr:uid="{00000000-0005-0000-0000-0000DB0D0000}"/>
    <cellStyle name="Normal 5 15" xfId="3519" xr:uid="{00000000-0005-0000-0000-0000DC0D0000}"/>
    <cellStyle name="Normal 5 15 2" xfId="3520" xr:uid="{00000000-0005-0000-0000-0000DD0D0000}"/>
    <cellStyle name="Normal 5 15 2 2" xfId="3521" xr:uid="{00000000-0005-0000-0000-0000DE0D0000}"/>
    <cellStyle name="Normal 5 16" xfId="3522" xr:uid="{00000000-0005-0000-0000-0000DF0D0000}"/>
    <cellStyle name="Normal 5 16 2" xfId="3523" xr:uid="{00000000-0005-0000-0000-0000E00D0000}"/>
    <cellStyle name="Normal 5 16 2 2" xfId="3524" xr:uid="{00000000-0005-0000-0000-0000E10D0000}"/>
    <cellStyle name="Normal 5 17" xfId="3525" xr:uid="{00000000-0005-0000-0000-0000E20D0000}"/>
    <cellStyle name="Normal 5 17 2" xfId="3526" xr:uid="{00000000-0005-0000-0000-0000E30D0000}"/>
    <cellStyle name="Normal 5 17 2 2" xfId="3527" xr:uid="{00000000-0005-0000-0000-0000E40D0000}"/>
    <cellStyle name="Normal 5 18" xfId="3528" xr:uid="{00000000-0005-0000-0000-0000E50D0000}"/>
    <cellStyle name="Normal 5 18 2" xfId="3529" xr:uid="{00000000-0005-0000-0000-0000E60D0000}"/>
    <cellStyle name="Normal 5 18 2 2" xfId="3530" xr:uid="{00000000-0005-0000-0000-0000E70D0000}"/>
    <cellStyle name="Normal 5 19" xfId="3531" xr:uid="{00000000-0005-0000-0000-0000E80D0000}"/>
    <cellStyle name="Normal 5 19 2" xfId="3532" xr:uid="{00000000-0005-0000-0000-0000E90D0000}"/>
    <cellStyle name="Normal 5 19 2 2" xfId="3533" xr:uid="{00000000-0005-0000-0000-0000EA0D0000}"/>
    <cellStyle name="Normal 5 2" xfId="3534" xr:uid="{00000000-0005-0000-0000-0000EB0D0000}"/>
    <cellStyle name="Normal 5 2 10" xfId="3535" xr:uid="{00000000-0005-0000-0000-0000EC0D0000}"/>
    <cellStyle name="Normal 5 2 10 2" xfId="3536" xr:uid="{00000000-0005-0000-0000-0000ED0D0000}"/>
    <cellStyle name="Normal 5 2 11" xfId="3537" xr:uid="{00000000-0005-0000-0000-0000EE0D0000}"/>
    <cellStyle name="Normal 5 2 11 2" xfId="3538" xr:uid="{00000000-0005-0000-0000-0000EF0D0000}"/>
    <cellStyle name="Normal 5 2 12" xfId="3539" xr:uid="{00000000-0005-0000-0000-0000F00D0000}"/>
    <cellStyle name="Normal 5 2 12 2" xfId="3540" xr:uid="{00000000-0005-0000-0000-0000F10D0000}"/>
    <cellStyle name="Normal 5 2 13" xfId="3541" xr:uid="{00000000-0005-0000-0000-0000F20D0000}"/>
    <cellStyle name="Normal 5 2 13 2" xfId="3542" xr:uid="{00000000-0005-0000-0000-0000F30D0000}"/>
    <cellStyle name="Normal 5 2 14" xfId="3543" xr:uid="{00000000-0005-0000-0000-0000F40D0000}"/>
    <cellStyle name="Normal 5 2 14 2" xfId="3544" xr:uid="{00000000-0005-0000-0000-0000F50D0000}"/>
    <cellStyle name="Normal 5 2 15" xfId="3545" xr:uid="{00000000-0005-0000-0000-0000F60D0000}"/>
    <cellStyle name="Normal 5 2 15 2" xfId="3546" xr:uid="{00000000-0005-0000-0000-0000F70D0000}"/>
    <cellStyle name="Normal 5 2 16" xfId="3547" xr:uid="{00000000-0005-0000-0000-0000F80D0000}"/>
    <cellStyle name="Normal 5 2 16 2" xfId="3548" xr:uid="{00000000-0005-0000-0000-0000F90D0000}"/>
    <cellStyle name="Normal 5 2 17" xfId="3549" xr:uid="{00000000-0005-0000-0000-0000FA0D0000}"/>
    <cellStyle name="Normal 5 2 17 2" xfId="3550" xr:uid="{00000000-0005-0000-0000-0000FB0D0000}"/>
    <cellStyle name="Normal 5 2 18" xfId="3551" xr:uid="{00000000-0005-0000-0000-0000FC0D0000}"/>
    <cellStyle name="Normal 5 2 18 2" xfId="3552" xr:uid="{00000000-0005-0000-0000-0000FD0D0000}"/>
    <cellStyle name="Normal 5 2 19" xfId="3553" xr:uid="{00000000-0005-0000-0000-0000FE0D0000}"/>
    <cellStyle name="Normal 5 2 19 2" xfId="3554" xr:uid="{00000000-0005-0000-0000-0000FF0D0000}"/>
    <cellStyle name="Normal 5 2 2" xfId="3555" xr:uid="{00000000-0005-0000-0000-0000000E0000}"/>
    <cellStyle name="Normal 5 2 2 2" xfId="3556" xr:uid="{00000000-0005-0000-0000-0000010E0000}"/>
    <cellStyle name="Normal 5 2 20" xfId="3557" xr:uid="{00000000-0005-0000-0000-0000020E0000}"/>
    <cellStyle name="Normal 5 2 20 2" xfId="3558" xr:uid="{00000000-0005-0000-0000-0000030E0000}"/>
    <cellStyle name="Normal 5 2 21" xfId="3559" xr:uid="{00000000-0005-0000-0000-0000040E0000}"/>
    <cellStyle name="Normal 5 2 21 2" xfId="3560" xr:uid="{00000000-0005-0000-0000-0000050E0000}"/>
    <cellStyle name="Normal 5 2 22" xfId="3561" xr:uid="{00000000-0005-0000-0000-0000060E0000}"/>
    <cellStyle name="Normal 5 2 22 2" xfId="3562" xr:uid="{00000000-0005-0000-0000-0000070E0000}"/>
    <cellStyle name="Normal 5 2 23" xfId="3563" xr:uid="{00000000-0005-0000-0000-0000080E0000}"/>
    <cellStyle name="Normal 5 2 23 2" xfId="3564" xr:uid="{00000000-0005-0000-0000-0000090E0000}"/>
    <cellStyle name="Normal 5 2 24" xfId="3565" xr:uid="{00000000-0005-0000-0000-00000A0E0000}"/>
    <cellStyle name="Normal 5 2 24 2" xfId="3566" xr:uid="{00000000-0005-0000-0000-00000B0E0000}"/>
    <cellStyle name="Normal 5 2 25" xfId="3567" xr:uid="{00000000-0005-0000-0000-00000C0E0000}"/>
    <cellStyle name="Normal 5 2 25 2" xfId="3568" xr:uid="{00000000-0005-0000-0000-00000D0E0000}"/>
    <cellStyle name="Normal 5 2 26" xfId="3569" xr:uid="{00000000-0005-0000-0000-00000E0E0000}"/>
    <cellStyle name="Normal 5 2 26 2" xfId="3570" xr:uid="{00000000-0005-0000-0000-00000F0E0000}"/>
    <cellStyle name="Normal 5 2 27" xfId="3571" xr:uid="{00000000-0005-0000-0000-0000100E0000}"/>
    <cellStyle name="Normal 5 2 27 2" xfId="3572" xr:uid="{00000000-0005-0000-0000-0000110E0000}"/>
    <cellStyle name="Normal 5 2 28" xfId="3573" xr:uid="{00000000-0005-0000-0000-0000120E0000}"/>
    <cellStyle name="Normal 5 2 28 2" xfId="3574" xr:uid="{00000000-0005-0000-0000-0000130E0000}"/>
    <cellStyle name="Normal 5 2 29" xfId="3575" xr:uid="{00000000-0005-0000-0000-0000140E0000}"/>
    <cellStyle name="Normal 5 2 29 2" xfId="3576" xr:uid="{00000000-0005-0000-0000-0000150E0000}"/>
    <cellStyle name="Normal 5 2 3" xfId="3577" xr:uid="{00000000-0005-0000-0000-0000160E0000}"/>
    <cellStyle name="Normal 5 2 3 2" xfId="3578" xr:uid="{00000000-0005-0000-0000-0000170E0000}"/>
    <cellStyle name="Normal 5 2 30" xfId="3579" xr:uid="{00000000-0005-0000-0000-0000180E0000}"/>
    <cellStyle name="Normal 5 2 30 2" xfId="3580" xr:uid="{00000000-0005-0000-0000-0000190E0000}"/>
    <cellStyle name="Normal 5 2 31" xfId="3581" xr:uid="{00000000-0005-0000-0000-00001A0E0000}"/>
    <cellStyle name="Normal 5 2 31 2" xfId="3582" xr:uid="{00000000-0005-0000-0000-00001B0E0000}"/>
    <cellStyle name="Normal 5 2 32" xfId="3583" xr:uid="{00000000-0005-0000-0000-00001C0E0000}"/>
    <cellStyle name="Normal 5 2 32 2" xfId="3584" xr:uid="{00000000-0005-0000-0000-00001D0E0000}"/>
    <cellStyle name="Normal 5 2 33" xfId="3585" xr:uid="{00000000-0005-0000-0000-00001E0E0000}"/>
    <cellStyle name="Normal 5 2 33 2" xfId="3586" xr:uid="{00000000-0005-0000-0000-00001F0E0000}"/>
    <cellStyle name="Normal 5 2 34" xfId="3587" xr:uid="{00000000-0005-0000-0000-0000200E0000}"/>
    <cellStyle name="Normal 5 2 34 2" xfId="3588" xr:uid="{00000000-0005-0000-0000-0000210E0000}"/>
    <cellStyle name="Normal 5 2 35" xfId="3589" xr:uid="{00000000-0005-0000-0000-0000220E0000}"/>
    <cellStyle name="Normal 5 2 35 2" xfId="3590" xr:uid="{00000000-0005-0000-0000-0000230E0000}"/>
    <cellStyle name="Normal 5 2 36" xfId="3591" xr:uid="{00000000-0005-0000-0000-0000240E0000}"/>
    <cellStyle name="Normal 5 2 4" xfId="3592" xr:uid="{00000000-0005-0000-0000-0000250E0000}"/>
    <cellStyle name="Normal 5 2 4 2" xfId="3593" xr:uid="{00000000-0005-0000-0000-0000260E0000}"/>
    <cellStyle name="Normal 5 2 5" xfId="3594" xr:uid="{00000000-0005-0000-0000-0000270E0000}"/>
    <cellStyle name="Normal 5 2 5 2" xfId="3595" xr:uid="{00000000-0005-0000-0000-0000280E0000}"/>
    <cellStyle name="Normal 5 2 6" xfId="3596" xr:uid="{00000000-0005-0000-0000-0000290E0000}"/>
    <cellStyle name="Normal 5 2 6 2" xfId="3597" xr:uid="{00000000-0005-0000-0000-00002A0E0000}"/>
    <cellStyle name="Normal 5 2 7" xfId="3598" xr:uid="{00000000-0005-0000-0000-00002B0E0000}"/>
    <cellStyle name="Normal 5 2 7 2" xfId="3599" xr:uid="{00000000-0005-0000-0000-00002C0E0000}"/>
    <cellStyle name="Normal 5 2 8" xfId="3600" xr:uid="{00000000-0005-0000-0000-00002D0E0000}"/>
    <cellStyle name="Normal 5 2 8 2" xfId="3601" xr:uid="{00000000-0005-0000-0000-00002E0E0000}"/>
    <cellStyle name="Normal 5 2 9" xfId="3602" xr:uid="{00000000-0005-0000-0000-00002F0E0000}"/>
    <cellStyle name="Normal 5 2 9 2" xfId="3603" xr:uid="{00000000-0005-0000-0000-0000300E0000}"/>
    <cellStyle name="Normal 5 2_Configurations FSC" xfId="3604" xr:uid="{00000000-0005-0000-0000-0000310E0000}"/>
    <cellStyle name="Normal 5 20" xfId="3605" xr:uid="{00000000-0005-0000-0000-0000320E0000}"/>
    <cellStyle name="Normal 5 20 2" xfId="3606" xr:uid="{00000000-0005-0000-0000-0000330E0000}"/>
    <cellStyle name="Normal 5 20 2 2" xfId="3607" xr:uid="{00000000-0005-0000-0000-0000340E0000}"/>
    <cellStyle name="Normal 5 21" xfId="3608" xr:uid="{00000000-0005-0000-0000-0000350E0000}"/>
    <cellStyle name="Normal 5 21 2" xfId="3609" xr:uid="{00000000-0005-0000-0000-0000360E0000}"/>
    <cellStyle name="Normal 5 21 2 2" xfId="3610" xr:uid="{00000000-0005-0000-0000-0000370E0000}"/>
    <cellStyle name="Normal 5 22" xfId="3611" xr:uid="{00000000-0005-0000-0000-0000380E0000}"/>
    <cellStyle name="Normal 5 22 2" xfId="3612" xr:uid="{00000000-0005-0000-0000-0000390E0000}"/>
    <cellStyle name="Normal 5 22 2 2" xfId="3613" xr:uid="{00000000-0005-0000-0000-00003A0E0000}"/>
    <cellStyle name="Normal 5 23" xfId="3614" xr:uid="{00000000-0005-0000-0000-00003B0E0000}"/>
    <cellStyle name="Normal 5 23 2" xfId="3615" xr:uid="{00000000-0005-0000-0000-00003C0E0000}"/>
    <cellStyle name="Normal 5 23 2 2" xfId="3616" xr:uid="{00000000-0005-0000-0000-00003D0E0000}"/>
    <cellStyle name="Normal 5 24" xfId="3617" xr:uid="{00000000-0005-0000-0000-00003E0E0000}"/>
    <cellStyle name="Normal 5 24 2" xfId="3618" xr:uid="{00000000-0005-0000-0000-00003F0E0000}"/>
    <cellStyle name="Normal 5 24 2 2" xfId="3619" xr:uid="{00000000-0005-0000-0000-0000400E0000}"/>
    <cellStyle name="Normal 5 25" xfId="3620" xr:uid="{00000000-0005-0000-0000-0000410E0000}"/>
    <cellStyle name="Normal 5 25 2" xfId="3621" xr:uid="{00000000-0005-0000-0000-0000420E0000}"/>
    <cellStyle name="Normal 5 25 2 2" xfId="3622" xr:uid="{00000000-0005-0000-0000-0000430E0000}"/>
    <cellStyle name="Normal 5 26" xfId="3623" xr:uid="{00000000-0005-0000-0000-0000440E0000}"/>
    <cellStyle name="Normal 5 26 2" xfId="3624" xr:uid="{00000000-0005-0000-0000-0000450E0000}"/>
    <cellStyle name="Normal 5 26 2 2" xfId="3625" xr:uid="{00000000-0005-0000-0000-0000460E0000}"/>
    <cellStyle name="Normal 5 27" xfId="3626" xr:uid="{00000000-0005-0000-0000-0000470E0000}"/>
    <cellStyle name="Normal 5 27 2" xfId="3627" xr:uid="{00000000-0005-0000-0000-0000480E0000}"/>
    <cellStyle name="Normal 5 27 2 2" xfId="3628" xr:uid="{00000000-0005-0000-0000-0000490E0000}"/>
    <cellStyle name="Normal 5 28" xfId="3629" xr:uid="{00000000-0005-0000-0000-00004A0E0000}"/>
    <cellStyle name="Normal 5 28 2" xfId="3630" xr:uid="{00000000-0005-0000-0000-00004B0E0000}"/>
    <cellStyle name="Normal 5 28 2 2" xfId="3631" xr:uid="{00000000-0005-0000-0000-00004C0E0000}"/>
    <cellStyle name="Normal 5 29" xfId="3632" xr:uid="{00000000-0005-0000-0000-00004D0E0000}"/>
    <cellStyle name="Normal 5 29 2" xfId="3633" xr:uid="{00000000-0005-0000-0000-00004E0E0000}"/>
    <cellStyle name="Normal 5 29 2 2" xfId="3634" xr:uid="{00000000-0005-0000-0000-00004F0E0000}"/>
    <cellStyle name="Normal 5 3" xfId="3635" xr:uid="{00000000-0005-0000-0000-0000500E0000}"/>
    <cellStyle name="Normal 5 3 2" xfId="3636" xr:uid="{00000000-0005-0000-0000-0000510E0000}"/>
    <cellStyle name="Normal 5 30" xfId="3637" xr:uid="{00000000-0005-0000-0000-0000520E0000}"/>
    <cellStyle name="Normal 5 30 2" xfId="3638" xr:uid="{00000000-0005-0000-0000-0000530E0000}"/>
    <cellStyle name="Normal 5 30 2 2" xfId="3639" xr:uid="{00000000-0005-0000-0000-0000540E0000}"/>
    <cellStyle name="Normal 5 31" xfId="3640" xr:uid="{00000000-0005-0000-0000-0000550E0000}"/>
    <cellStyle name="Normal 5 31 2" xfId="3641" xr:uid="{00000000-0005-0000-0000-0000560E0000}"/>
    <cellStyle name="Normal 5 31 2 2" xfId="3642" xr:uid="{00000000-0005-0000-0000-0000570E0000}"/>
    <cellStyle name="Normal 5 32" xfId="3643" xr:uid="{00000000-0005-0000-0000-0000580E0000}"/>
    <cellStyle name="Normal 5 32 2" xfId="3644" xr:uid="{00000000-0005-0000-0000-0000590E0000}"/>
    <cellStyle name="Normal 5 32 2 2" xfId="3645" xr:uid="{00000000-0005-0000-0000-00005A0E0000}"/>
    <cellStyle name="Normal 5 33" xfId="3646" xr:uid="{00000000-0005-0000-0000-00005B0E0000}"/>
    <cellStyle name="Normal 5 33 2" xfId="3647" xr:uid="{00000000-0005-0000-0000-00005C0E0000}"/>
    <cellStyle name="Normal 5 33 2 2" xfId="3648" xr:uid="{00000000-0005-0000-0000-00005D0E0000}"/>
    <cellStyle name="Normal 5 34" xfId="3649" xr:uid="{00000000-0005-0000-0000-00005E0E0000}"/>
    <cellStyle name="Normal 5 34 2" xfId="3650" xr:uid="{00000000-0005-0000-0000-00005F0E0000}"/>
    <cellStyle name="Normal 5 34 2 2" xfId="3651" xr:uid="{00000000-0005-0000-0000-0000600E0000}"/>
    <cellStyle name="Normal 5 35" xfId="3652" xr:uid="{00000000-0005-0000-0000-0000610E0000}"/>
    <cellStyle name="Normal 5 35 2" xfId="3653" xr:uid="{00000000-0005-0000-0000-0000620E0000}"/>
    <cellStyle name="Normal 5 35 2 2" xfId="3654" xr:uid="{00000000-0005-0000-0000-0000630E0000}"/>
    <cellStyle name="Normal 5 36" xfId="3655" xr:uid="{00000000-0005-0000-0000-0000640E0000}"/>
    <cellStyle name="Normal 5 36 2" xfId="3656" xr:uid="{00000000-0005-0000-0000-0000650E0000}"/>
    <cellStyle name="Normal 5 36 2 2" xfId="3657" xr:uid="{00000000-0005-0000-0000-0000660E0000}"/>
    <cellStyle name="Normal 5 37" xfId="3658" xr:uid="{00000000-0005-0000-0000-0000670E0000}"/>
    <cellStyle name="Normal 5 37 2" xfId="3659" xr:uid="{00000000-0005-0000-0000-0000680E0000}"/>
    <cellStyle name="Normal 5 37 2 2" xfId="3660" xr:uid="{00000000-0005-0000-0000-0000690E0000}"/>
    <cellStyle name="Normal 5 38" xfId="3661" xr:uid="{00000000-0005-0000-0000-00006A0E0000}"/>
    <cellStyle name="Normal 5 39" xfId="4902" xr:uid="{00000000-0005-0000-0000-00006B0E0000}"/>
    <cellStyle name="Normal 5 4" xfId="3662" xr:uid="{00000000-0005-0000-0000-00006C0E0000}"/>
    <cellStyle name="Normal 5 4 2" xfId="3663" xr:uid="{00000000-0005-0000-0000-00006D0E0000}"/>
    <cellStyle name="Normal 5 40" xfId="4903" xr:uid="{00000000-0005-0000-0000-00006E0E0000}"/>
    <cellStyle name="Normal 5 41" xfId="4904" xr:uid="{00000000-0005-0000-0000-00006F0E0000}"/>
    <cellStyle name="Normal 5 42" xfId="4905" xr:uid="{00000000-0005-0000-0000-0000700E0000}"/>
    <cellStyle name="Normal 5 43" xfId="4906" xr:uid="{00000000-0005-0000-0000-0000710E0000}"/>
    <cellStyle name="Normal 5 44" xfId="4907" xr:uid="{00000000-0005-0000-0000-0000720E0000}"/>
    <cellStyle name="Normal 5 45" xfId="4908" xr:uid="{00000000-0005-0000-0000-0000730E0000}"/>
    <cellStyle name="Normal 5 5" xfId="3664" xr:uid="{00000000-0005-0000-0000-0000740E0000}"/>
    <cellStyle name="Normal 5 5 2" xfId="3665" xr:uid="{00000000-0005-0000-0000-0000750E0000}"/>
    <cellStyle name="Normal 5 5 2 2" xfId="3666" xr:uid="{00000000-0005-0000-0000-0000760E0000}"/>
    <cellStyle name="Normal 5 6" xfId="3667" xr:uid="{00000000-0005-0000-0000-0000770E0000}"/>
    <cellStyle name="Normal 5 6 2" xfId="3668" xr:uid="{00000000-0005-0000-0000-0000780E0000}"/>
    <cellStyle name="Normal 5 6 2 2" xfId="3669" xr:uid="{00000000-0005-0000-0000-0000790E0000}"/>
    <cellStyle name="Normal 5 7" xfId="3670" xr:uid="{00000000-0005-0000-0000-00007A0E0000}"/>
    <cellStyle name="Normal 5 7 2" xfId="3671" xr:uid="{00000000-0005-0000-0000-00007B0E0000}"/>
    <cellStyle name="Normal 5 7 2 2" xfId="3672" xr:uid="{00000000-0005-0000-0000-00007C0E0000}"/>
    <cellStyle name="Normal 5 8" xfId="3673" xr:uid="{00000000-0005-0000-0000-00007D0E0000}"/>
    <cellStyle name="Normal 5 8 2" xfId="3674" xr:uid="{00000000-0005-0000-0000-00007E0E0000}"/>
    <cellStyle name="Normal 5 8 2 2" xfId="3675" xr:uid="{00000000-0005-0000-0000-00007F0E0000}"/>
    <cellStyle name="Normal 5 9" xfId="3676" xr:uid="{00000000-0005-0000-0000-0000800E0000}"/>
    <cellStyle name="Normal 5 9 2" xfId="3677" xr:uid="{00000000-0005-0000-0000-0000810E0000}"/>
    <cellStyle name="Normal 5 9 2 2" xfId="3678" xr:uid="{00000000-0005-0000-0000-0000820E0000}"/>
    <cellStyle name="Normal 5_Configurations FSC" xfId="3679" xr:uid="{00000000-0005-0000-0000-0000830E0000}"/>
    <cellStyle name="Normal 50" xfId="3680" xr:uid="{00000000-0005-0000-0000-0000840E0000}"/>
    <cellStyle name="Normal 50 2" xfId="3681" xr:uid="{00000000-0005-0000-0000-0000850E0000}"/>
    <cellStyle name="Normal 50 2 2" xfId="3682" xr:uid="{00000000-0005-0000-0000-0000860E0000}"/>
    <cellStyle name="Normal 50 2 2 2" xfId="3683" xr:uid="{00000000-0005-0000-0000-0000870E0000}"/>
    <cellStyle name="Normal 50 3" xfId="3684" xr:uid="{00000000-0005-0000-0000-0000880E0000}"/>
    <cellStyle name="Normal 50 3 2" xfId="3685" xr:uid="{00000000-0005-0000-0000-0000890E0000}"/>
    <cellStyle name="Normal 50 3 2 2" xfId="3686" xr:uid="{00000000-0005-0000-0000-00008A0E0000}"/>
    <cellStyle name="Normal 50 4" xfId="3687" xr:uid="{00000000-0005-0000-0000-00008B0E0000}"/>
    <cellStyle name="Normal 50 4 2" xfId="3688" xr:uid="{00000000-0005-0000-0000-00008C0E0000}"/>
    <cellStyle name="Normal 50 4 2 2" xfId="3689" xr:uid="{00000000-0005-0000-0000-00008D0E0000}"/>
    <cellStyle name="Normal 50 5" xfId="3690" xr:uid="{00000000-0005-0000-0000-00008E0E0000}"/>
    <cellStyle name="Normal 50 5 2" xfId="3691" xr:uid="{00000000-0005-0000-0000-00008F0E0000}"/>
    <cellStyle name="Normal 50 5 2 2" xfId="3692" xr:uid="{00000000-0005-0000-0000-0000900E0000}"/>
    <cellStyle name="Normal 50 6" xfId="3693" xr:uid="{00000000-0005-0000-0000-0000910E0000}"/>
    <cellStyle name="Normal 50 6 2" xfId="3694" xr:uid="{00000000-0005-0000-0000-0000920E0000}"/>
    <cellStyle name="Normal 50 6 2 2" xfId="3695" xr:uid="{00000000-0005-0000-0000-0000930E0000}"/>
    <cellStyle name="Normal 50 7" xfId="3696" xr:uid="{00000000-0005-0000-0000-0000940E0000}"/>
    <cellStyle name="Normal 50 7 2" xfId="3697" xr:uid="{00000000-0005-0000-0000-0000950E0000}"/>
    <cellStyle name="Normal 50_2010-06-01_Intel Server Basket_HP May 2010 (2)" xfId="3698" xr:uid="{00000000-0005-0000-0000-0000960E0000}"/>
    <cellStyle name="Normal 51" xfId="3699" xr:uid="{00000000-0005-0000-0000-0000970E0000}"/>
    <cellStyle name="Normal 51 2" xfId="3700" xr:uid="{00000000-0005-0000-0000-0000980E0000}"/>
    <cellStyle name="Normal 51 2 2" xfId="3701" xr:uid="{00000000-0005-0000-0000-0000990E0000}"/>
    <cellStyle name="Normal 52" xfId="3702" xr:uid="{00000000-0005-0000-0000-00009A0E0000}"/>
    <cellStyle name="Normal 52 2" xfId="3703" xr:uid="{00000000-0005-0000-0000-00009B0E0000}"/>
    <cellStyle name="Normal 52 2 2" xfId="3704" xr:uid="{00000000-0005-0000-0000-00009C0E0000}"/>
    <cellStyle name="Normal 52 2 2 2" xfId="3705" xr:uid="{00000000-0005-0000-0000-00009D0E0000}"/>
    <cellStyle name="Normal 52 3" xfId="3706" xr:uid="{00000000-0005-0000-0000-00009E0E0000}"/>
    <cellStyle name="Normal 52 3 2" xfId="3707" xr:uid="{00000000-0005-0000-0000-00009F0E0000}"/>
    <cellStyle name="Normal 52 3 2 2" xfId="3708" xr:uid="{00000000-0005-0000-0000-0000A00E0000}"/>
    <cellStyle name="Normal 52 4" xfId="3709" xr:uid="{00000000-0005-0000-0000-0000A10E0000}"/>
    <cellStyle name="Normal 52 4 2" xfId="3710" xr:uid="{00000000-0005-0000-0000-0000A20E0000}"/>
    <cellStyle name="Normal 52 4 2 2" xfId="3711" xr:uid="{00000000-0005-0000-0000-0000A30E0000}"/>
    <cellStyle name="Normal 52 5" xfId="3712" xr:uid="{00000000-0005-0000-0000-0000A40E0000}"/>
    <cellStyle name="Normal 52 5 2" xfId="3713" xr:uid="{00000000-0005-0000-0000-0000A50E0000}"/>
    <cellStyle name="Normal 52 5 2 2" xfId="3714" xr:uid="{00000000-0005-0000-0000-0000A60E0000}"/>
    <cellStyle name="Normal 52 6" xfId="3715" xr:uid="{00000000-0005-0000-0000-0000A70E0000}"/>
    <cellStyle name="Normal 52 6 2" xfId="3716" xr:uid="{00000000-0005-0000-0000-0000A80E0000}"/>
    <cellStyle name="Normal 52 6 2 2" xfId="3717" xr:uid="{00000000-0005-0000-0000-0000A90E0000}"/>
    <cellStyle name="Normal 52 7" xfId="3718" xr:uid="{00000000-0005-0000-0000-0000AA0E0000}"/>
    <cellStyle name="Normal 52 7 2" xfId="3719" xr:uid="{00000000-0005-0000-0000-0000AB0E0000}"/>
    <cellStyle name="Normal 52_2010-06-01_Intel Server Basket_HP May 2010 (2)" xfId="3720" xr:uid="{00000000-0005-0000-0000-0000AC0E0000}"/>
    <cellStyle name="Normal 53" xfId="3721" xr:uid="{00000000-0005-0000-0000-0000AD0E0000}"/>
    <cellStyle name="Normal 53 2" xfId="3722" xr:uid="{00000000-0005-0000-0000-0000AE0E0000}"/>
    <cellStyle name="Normal 53 2 2" xfId="3723" xr:uid="{00000000-0005-0000-0000-0000AF0E0000}"/>
    <cellStyle name="Normal 54" xfId="3724" xr:uid="{00000000-0005-0000-0000-0000B00E0000}"/>
    <cellStyle name="Normal 54 2" xfId="3725" xr:uid="{00000000-0005-0000-0000-0000B10E0000}"/>
    <cellStyle name="Normal 54 2 2" xfId="3726" xr:uid="{00000000-0005-0000-0000-0000B20E0000}"/>
    <cellStyle name="Normal 55" xfId="3727" xr:uid="{00000000-0005-0000-0000-0000B30E0000}"/>
    <cellStyle name="Normal 55 2" xfId="3728" xr:uid="{00000000-0005-0000-0000-0000B40E0000}"/>
    <cellStyle name="Normal 55 2 2" xfId="3729" xr:uid="{00000000-0005-0000-0000-0000B50E0000}"/>
    <cellStyle name="Normal 56" xfId="3730" xr:uid="{00000000-0005-0000-0000-0000B60E0000}"/>
    <cellStyle name="Normal 56 2" xfId="3731" xr:uid="{00000000-0005-0000-0000-0000B70E0000}"/>
    <cellStyle name="Normal 56 2 2" xfId="3732" xr:uid="{00000000-0005-0000-0000-0000B80E0000}"/>
    <cellStyle name="Normal 57" xfId="3733" xr:uid="{00000000-0005-0000-0000-0000B90E0000}"/>
    <cellStyle name="Normal 57 2" xfId="3734" xr:uid="{00000000-0005-0000-0000-0000BA0E0000}"/>
    <cellStyle name="Normal 57 2 2" xfId="3735" xr:uid="{00000000-0005-0000-0000-0000BB0E0000}"/>
    <cellStyle name="Normal 58" xfId="3736" xr:uid="{00000000-0005-0000-0000-0000BC0E0000}"/>
    <cellStyle name="Normal 58 2" xfId="3737" xr:uid="{00000000-0005-0000-0000-0000BD0E0000}"/>
    <cellStyle name="Normal 58 2 2" xfId="3738" xr:uid="{00000000-0005-0000-0000-0000BE0E0000}"/>
    <cellStyle name="Normal 58 2 2 2" xfId="3739" xr:uid="{00000000-0005-0000-0000-0000BF0E0000}"/>
    <cellStyle name="Normal 58 3" xfId="3740" xr:uid="{00000000-0005-0000-0000-0000C00E0000}"/>
    <cellStyle name="Normal 58 3 2" xfId="3741" xr:uid="{00000000-0005-0000-0000-0000C10E0000}"/>
    <cellStyle name="Normal 58 3 2 2" xfId="3742" xr:uid="{00000000-0005-0000-0000-0000C20E0000}"/>
    <cellStyle name="Normal 58 4" xfId="3743" xr:uid="{00000000-0005-0000-0000-0000C30E0000}"/>
    <cellStyle name="Normal 58 4 2" xfId="3744" xr:uid="{00000000-0005-0000-0000-0000C40E0000}"/>
    <cellStyle name="Normal 58 4 2 2" xfId="3745" xr:uid="{00000000-0005-0000-0000-0000C50E0000}"/>
    <cellStyle name="Normal 58 5" xfId="3746" xr:uid="{00000000-0005-0000-0000-0000C60E0000}"/>
    <cellStyle name="Normal 58 5 2" xfId="3747" xr:uid="{00000000-0005-0000-0000-0000C70E0000}"/>
    <cellStyle name="Normal 58 5 2 2" xfId="3748" xr:uid="{00000000-0005-0000-0000-0000C80E0000}"/>
    <cellStyle name="Normal 58 6" xfId="3749" xr:uid="{00000000-0005-0000-0000-0000C90E0000}"/>
    <cellStyle name="Normal 58 6 2" xfId="3750" xr:uid="{00000000-0005-0000-0000-0000CA0E0000}"/>
    <cellStyle name="Normal 58 6 2 2" xfId="3751" xr:uid="{00000000-0005-0000-0000-0000CB0E0000}"/>
    <cellStyle name="Normal 58 7" xfId="3752" xr:uid="{00000000-0005-0000-0000-0000CC0E0000}"/>
    <cellStyle name="Normal 58 7 2" xfId="3753" xr:uid="{00000000-0005-0000-0000-0000CD0E0000}"/>
    <cellStyle name="Normal 58_2010-06-01_Intel Server Basket_HP May 2010 (2)" xfId="3754" xr:uid="{00000000-0005-0000-0000-0000CE0E0000}"/>
    <cellStyle name="Normal 59" xfId="3755" xr:uid="{00000000-0005-0000-0000-0000CF0E0000}"/>
    <cellStyle name="Normal 59 2" xfId="3756" xr:uid="{00000000-0005-0000-0000-0000D00E0000}"/>
    <cellStyle name="Normal 59 2 2" xfId="3757" xr:uid="{00000000-0005-0000-0000-0000D10E0000}"/>
    <cellStyle name="Normal 6" xfId="3758" xr:uid="{00000000-0005-0000-0000-0000D20E0000}"/>
    <cellStyle name="Normal 6 10" xfId="3759" xr:uid="{00000000-0005-0000-0000-0000D30E0000}"/>
    <cellStyle name="Normal 6 10 2" xfId="3760" xr:uid="{00000000-0005-0000-0000-0000D40E0000}"/>
    <cellStyle name="Normal 6 10 2 2" xfId="3761" xr:uid="{00000000-0005-0000-0000-0000D50E0000}"/>
    <cellStyle name="Normal 6 11" xfId="3762" xr:uid="{00000000-0005-0000-0000-0000D60E0000}"/>
    <cellStyle name="Normal 6 11 2" xfId="3763" xr:uid="{00000000-0005-0000-0000-0000D70E0000}"/>
    <cellStyle name="Normal 6 11 2 2" xfId="3764" xr:uid="{00000000-0005-0000-0000-0000D80E0000}"/>
    <cellStyle name="Normal 6 12" xfId="3765" xr:uid="{00000000-0005-0000-0000-0000D90E0000}"/>
    <cellStyle name="Normal 6 12 2" xfId="3766" xr:uid="{00000000-0005-0000-0000-0000DA0E0000}"/>
    <cellStyle name="Normal 6 12 2 2" xfId="3767" xr:uid="{00000000-0005-0000-0000-0000DB0E0000}"/>
    <cellStyle name="Normal 6 13" xfId="3768" xr:uid="{00000000-0005-0000-0000-0000DC0E0000}"/>
    <cellStyle name="Normal 6 13 2" xfId="3769" xr:uid="{00000000-0005-0000-0000-0000DD0E0000}"/>
    <cellStyle name="Normal 6 13 2 2" xfId="3770" xr:uid="{00000000-0005-0000-0000-0000DE0E0000}"/>
    <cellStyle name="Normal 6 14" xfId="3771" xr:uid="{00000000-0005-0000-0000-0000DF0E0000}"/>
    <cellStyle name="Normal 6 14 2" xfId="3772" xr:uid="{00000000-0005-0000-0000-0000E00E0000}"/>
    <cellStyle name="Normal 6 14 2 2" xfId="3773" xr:uid="{00000000-0005-0000-0000-0000E10E0000}"/>
    <cellStyle name="Normal 6 15" xfId="3774" xr:uid="{00000000-0005-0000-0000-0000E20E0000}"/>
    <cellStyle name="Normal 6 15 2" xfId="3775" xr:uid="{00000000-0005-0000-0000-0000E30E0000}"/>
    <cellStyle name="Normal 6 15 2 2" xfId="3776" xr:uid="{00000000-0005-0000-0000-0000E40E0000}"/>
    <cellStyle name="Normal 6 16" xfId="3777" xr:uid="{00000000-0005-0000-0000-0000E50E0000}"/>
    <cellStyle name="Normal 6 16 2" xfId="3778" xr:uid="{00000000-0005-0000-0000-0000E60E0000}"/>
    <cellStyle name="Normal 6 16 2 2" xfId="3779" xr:uid="{00000000-0005-0000-0000-0000E70E0000}"/>
    <cellStyle name="Normal 6 17" xfId="3780" xr:uid="{00000000-0005-0000-0000-0000E80E0000}"/>
    <cellStyle name="Normal 6 17 2" xfId="3781" xr:uid="{00000000-0005-0000-0000-0000E90E0000}"/>
    <cellStyle name="Normal 6 17 2 2" xfId="3782" xr:uid="{00000000-0005-0000-0000-0000EA0E0000}"/>
    <cellStyle name="Normal 6 18" xfId="3783" xr:uid="{00000000-0005-0000-0000-0000EB0E0000}"/>
    <cellStyle name="Normal 6 18 2" xfId="3784" xr:uid="{00000000-0005-0000-0000-0000EC0E0000}"/>
    <cellStyle name="Normal 6 18 2 2" xfId="3785" xr:uid="{00000000-0005-0000-0000-0000ED0E0000}"/>
    <cellStyle name="Normal 6 19" xfId="3786" xr:uid="{00000000-0005-0000-0000-0000EE0E0000}"/>
    <cellStyle name="Normal 6 19 2" xfId="3787" xr:uid="{00000000-0005-0000-0000-0000EF0E0000}"/>
    <cellStyle name="Normal 6 19 2 2" xfId="3788" xr:uid="{00000000-0005-0000-0000-0000F00E0000}"/>
    <cellStyle name="Normal 6 2" xfId="3789" xr:uid="{00000000-0005-0000-0000-0000F10E0000}"/>
    <cellStyle name="Normal 6 2 10" xfId="3790" xr:uid="{00000000-0005-0000-0000-0000F20E0000}"/>
    <cellStyle name="Normal 6 2 10 2" xfId="3791" xr:uid="{00000000-0005-0000-0000-0000F30E0000}"/>
    <cellStyle name="Normal 6 2 11" xfId="3792" xr:uid="{00000000-0005-0000-0000-0000F40E0000}"/>
    <cellStyle name="Normal 6 2 11 2" xfId="3793" xr:uid="{00000000-0005-0000-0000-0000F50E0000}"/>
    <cellStyle name="Normal 6 2 12" xfId="3794" xr:uid="{00000000-0005-0000-0000-0000F60E0000}"/>
    <cellStyle name="Normal 6 2 12 2" xfId="3795" xr:uid="{00000000-0005-0000-0000-0000F70E0000}"/>
    <cellStyle name="Normal 6 2 13" xfId="3796" xr:uid="{00000000-0005-0000-0000-0000F80E0000}"/>
    <cellStyle name="Normal 6 2 13 2" xfId="3797" xr:uid="{00000000-0005-0000-0000-0000F90E0000}"/>
    <cellStyle name="Normal 6 2 14" xfId="3798" xr:uid="{00000000-0005-0000-0000-0000FA0E0000}"/>
    <cellStyle name="Normal 6 2 14 2" xfId="3799" xr:uid="{00000000-0005-0000-0000-0000FB0E0000}"/>
    <cellStyle name="Normal 6 2 15" xfId="3800" xr:uid="{00000000-0005-0000-0000-0000FC0E0000}"/>
    <cellStyle name="Normal 6 2 15 2" xfId="3801" xr:uid="{00000000-0005-0000-0000-0000FD0E0000}"/>
    <cellStyle name="Normal 6 2 16" xfId="3802" xr:uid="{00000000-0005-0000-0000-0000FE0E0000}"/>
    <cellStyle name="Normal 6 2 16 2" xfId="3803" xr:uid="{00000000-0005-0000-0000-0000FF0E0000}"/>
    <cellStyle name="Normal 6 2 17" xfId="3804" xr:uid="{00000000-0005-0000-0000-0000000F0000}"/>
    <cellStyle name="Normal 6 2 17 2" xfId="3805" xr:uid="{00000000-0005-0000-0000-0000010F0000}"/>
    <cellStyle name="Normal 6 2 18" xfId="3806" xr:uid="{00000000-0005-0000-0000-0000020F0000}"/>
    <cellStyle name="Normal 6 2 18 2" xfId="3807" xr:uid="{00000000-0005-0000-0000-0000030F0000}"/>
    <cellStyle name="Normal 6 2 19" xfId="3808" xr:uid="{00000000-0005-0000-0000-0000040F0000}"/>
    <cellStyle name="Normal 6 2 19 2" xfId="3809" xr:uid="{00000000-0005-0000-0000-0000050F0000}"/>
    <cellStyle name="Normal 6 2 2" xfId="3810" xr:uid="{00000000-0005-0000-0000-0000060F0000}"/>
    <cellStyle name="Normal 6 2 2 2" xfId="3811" xr:uid="{00000000-0005-0000-0000-0000070F0000}"/>
    <cellStyle name="Normal 6 2 20" xfId="3812" xr:uid="{00000000-0005-0000-0000-0000080F0000}"/>
    <cellStyle name="Normal 6 2 20 2" xfId="3813" xr:uid="{00000000-0005-0000-0000-0000090F0000}"/>
    <cellStyle name="Normal 6 2 21" xfId="3814" xr:uid="{00000000-0005-0000-0000-00000A0F0000}"/>
    <cellStyle name="Normal 6 2 21 2" xfId="3815" xr:uid="{00000000-0005-0000-0000-00000B0F0000}"/>
    <cellStyle name="Normal 6 2 22" xfId="3816" xr:uid="{00000000-0005-0000-0000-00000C0F0000}"/>
    <cellStyle name="Normal 6 2 22 2" xfId="3817" xr:uid="{00000000-0005-0000-0000-00000D0F0000}"/>
    <cellStyle name="Normal 6 2 23" xfId="3818" xr:uid="{00000000-0005-0000-0000-00000E0F0000}"/>
    <cellStyle name="Normal 6 2 23 2" xfId="3819" xr:uid="{00000000-0005-0000-0000-00000F0F0000}"/>
    <cellStyle name="Normal 6 2 24" xfId="3820" xr:uid="{00000000-0005-0000-0000-0000100F0000}"/>
    <cellStyle name="Normal 6 2 24 2" xfId="3821" xr:uid="{00000000-0005-0000-0000-0000110F0000}"/>
    <cellStyle name="Normal 6 2 25" xfId="3822" xr:uid="{00000000-0005-0000-0000-0000120F0000}"/>
    <cellStyle name="Normal 6 2 25 2" xfId="3823" xr:uid="{00000000-0005-0000-0000-0000130F0000}"/>
    <cellStyle name="Normal 6 2 26" xfId="3824" xr:uid="{00000000-0005-0000-0000-0000140F0000}"/>
    <cellStyle name="Normal 6 2 26 2" xfId="3825" xr:uid="{00000000-0005-0000-0000-0000150F0000}"/>
    <cellStyle name="Normal 6 2 27" xfId="3826" xr:uid="{00000000-0005-0000-0000-0000160F0000}"/>
    <cellStyle name="Normal 6 2 27 2" xfId="3827" xr:uid="{00000000-0005-0000-0000-0000170F0000}"/>
    <cellStyle name="Normal 6 2 28" xfId="3828" xr:uid="{00000000-0005-0000-0000-0000180F0000}"/>
    <cellStyle name="Normal 6 2 28 2" xfId="3829" xr:uid="{00000000-0005-0000-0000-0000190F0000}"/>
    <cellStyle name="Normal 6 2 29" xfId="3830" xr:uid="{00000000-0005-0000-0000-00001A0F0000}"/>
    <cellStyle name="Normal 6 2 29 2" xfId="3831" xr:uid="{00000000-0005-0000-0000-00001B0F0000}"/>
    <cellStyle name="Normal 6 2 3" xfId="3832" xr:uid="{00000000-0005-0000-0000-00001C0F0000}"/>
    <cellStyle name="Normal 6 2 3 2" xfId="3833" xr:uid="{00000000-0005-0000-0000-00001D0F0000}"/>
    <cellStyle name="Normal 6 2 30" xfId="3834" xr:uid="{00000000-0005-0000-0000-00001E0F0000}"/>
    <cellStyle name="Normal 6 2 30 2" xfId="3835" xr:uid="{00000000-0005-0000-0000-00001F0F0000}"/>
    <cellStyle name="Normal 6 2 31" xfId="3836" xr:uid="{00000000-0005-0000-0000-0000200F0000}"/>
    <cellStyle name="Normal 6 2 31 2" xfId="3837" xr:uid="{00000000-0005-0000-0000-0000210F0000}"/>
    <cellStyle name="Normal 6 2 32" xfId="3838" xr:uid="{00000000-0005-0000-0000-0000220F0000}"/>
    <cellStyle name="Normal 6 2 32 2" xfId="3839" xr:uid="{00000000-0005-0000-0000-0000230F0000}"/>
    <cellStyle name="Normal 6 2 33" xfId="3840" xr:uid="{00000000-0005-0000-0000-0000240F0000}"/>
    <cellStyle name="Normal 6 2 33 2" xfId="3841" xr:uid="{00000000-0005-0000-0000-0000250F0000}"/>
    <cellStyle name="Normal 6 2 34" xfId="3842" xr:uid="{00000000-0005-0000-0000-0000260F0000}"/>
    <cellStyle name="Normal 6 2 34 2" xfId="3843" xr:uid="{00000000-0005-0000-0000-0000270F0000}"/>
    <cellStyle name="Normal 6 2 35" xfId="3844" xr:uid="{00000000-0005-0000-0000-0000280F0000}"/>
    <cellStyle name="Normal 6 2 35 2" xfId="3845" xr:uid="{00000000-0005-0000-0000-0000290F0000}"/>
    <cellStyle name="Normal 6 2 36" xfId="3846" xr:uid="{00000000-0005-0000-0000-00002A0F0000}"/>
    <cellStyle name="Normal 6 2 4" xfId="3847" xr:uid="{00000000-0005-0000-0000-00002B0F0000}"/>
    <cellStyle name="Normal 6 2 4 2" xfId="3848" xr:uid="{00000000-0005-0000-0000-00002C0F0000}"/>
    <cellStyle name="Normal 6 2 5" xfId="3849" xr:uid="{00000000-0005-0000-0000-00002D0F0000}"/>
    <cellStyle name="Normal 6 2 5 2" xfId="3850" xr:uid="{00000000-0005-0000-0000-00002E0F0000}"/>
    <cellStyle name="Normal 6 2 6" xfId="3851" xr:uid="{00000000-0005-0000-0000-00002F0F0000}"/>
    <cellStyle name="Normal 6 2 6 2" xfId="3852" xr:uid="{00000000-0005-0000-0000-0000300F0000}"/>
    <cellStyle name="Normal 6 2 7" xfId="3853" xr:uid="{00000000-0005-0000-0000-0000310F0000}"/>
    <cellStyle name="Normal 6 2 7 2" xfId="3854" xr:uid="{00000000-0005-0000-0000-0000320F0000}"/>
    <cellStyle name="Normal 6 2 8" xfId="3855" xr:uid="{00000000-0005-0000-0000-0000330F0000}"/>
    <cellStyle name="Normal 6 2 8 2" xfId="3856" xr:uid="{00000000-0005-0000-0000-0000340F0000}"/>
    <cellStyle name="Normal 6 2 9" xfId="3857" xr:uid="{00000000-0005-0000-0000-0000350F0000}"/>
    <cellStyle name="Normal 6 2 9 2" xfId="3858" xr:uid="{00000000-0005-0000-0000-0000360F0000}"/>
    <cellStyle name="Normal 6 2_Configurations FSC" xfId="3859" xr:uid="{00000000-0005-0000-0000-0000370F0000}"/>
    <cellStyle name="Normal 6 20" xfId="3860" xr:uid="{00000000-0005-0000-0000-0000380F0000}"/>
    <cellStyle name="Normal 6 20 2" xfId="3861" xr:uid="{00000000-0005-0000-0000-0000390F0000}"/>
    <cellStyle name="Normal 6 20 2 2" xfId="3862" xr:uid="{00000000-0005-0000-0000-00003A0F0000}"/>
    <cellStyle name="Normal 6 21" xfId="3863" xr:uid="{00000000-0005-0000-0000-00003B0F0000}"/>
    <cellStyle name="Normal 6 21 2" xfId="3864" xr:uid="{00000000-0005-0000-0000-00003C0F0000}"/>
    <cellStyle name="Normal 6 21 2 2" xfId="3865" xr:uid="{00000000-0005-0000-0000-00003D0F0000}"/>
    <cellStyle name="Normal 6 22" xfId="3866" xr:uid="{00000000-0005-0000-0000-00003E0F0000}"/>
    <cellStyle name="Normal 6 22 2" xfId="3867" xr:uid="{00000000-0005-0000-0000-00003F0F0000}"/>
    <cellStyle name="Normal 6 22 2 2" xfId="3868" xr:uid="{00000000-0005-0000-0000-0000400F0000}"/>
    <cellStyle name="Normal 6 23" xfId="3869" xr:uid="{00000000-0005-0000-0000-0000410F0000}"/>
    <cellStyle name="Normal 6 23 2" xfId="3870" xr:uid="{00000000-0005-0000-0000-0000420F0000}"/>
    <cellStyle name="Normal 6 23 2 2" xfId="3871" xr:uid="{00000000-0005-0000-0000-0000430F0000}"/>
    <cellStyle name="Normal 6 24" xfId="3872" xr:uid="{00000000-0005-0000-0000-0000440F0000}"/>
    <cellStyle name="Normal 6 24 2" xfId="3873" xr:uid="{00000000-0005-0000-0000-0000450F0000}"/>
    <cellStyle name="Normal 6 24 2 2" xfId="3874" xr:uid="{00000000-0005-0000-0000-0000460F0000}"/>
    <cellStyle name="Normal 6 25" xfId="3875" xr:uid="{00000000-0005-0000-0000-0000470F0000}"/>
    <cellStyle name="Normal 6 25 2" xfId="3876" xr:uid="{00000000-0005-0000-0000-0000480F0000}"/>
    <cellStyle name="Normal 6 25 2 2" xfId="3877" xr:uid="{00000000-0005-0000-0000-0000490F0000}"/>
    <cellStyle name="Normal 6 26" xfId="3878" xr:uid="{00000000-0005-0000-0000-00004A0F0000}"/>
    <cellStyle name="Normal 6 26 2" xfId="3879" xr:uid="{00000000-0005-0000-0000-00004B0F0000}"/>
    <cellStyle name="Normal 6 26 2 2" xfId="3880" xr:uid="{00000000-0005-0000-0000-00004C0F0000}"/>
    <cellStyle name="Normal 6 27" xfId="3881" xr:uid="{00000000-0005-0000-0000-00004D0F0000}"/>
    <cellStyle name="Normal 6 27 2" xfId="3882" xr:uid="{00000000-0005-0000-0000-00004E0F0000}"/>
    <cellStyle name="Normal 6 27 2 2" xfId="3883" xr:uid="{00000000-0005-0000-0000-00004F0F0000}"/>
    <cellStyle name="Normal 6 28" xfId="3884" xr:uid="{00000000-0005-0000-0000-0000500F0000}"/>
    <cellStyle name="Normal 6 28 2" xfId="3885" xr:uid="{00000000-0005-0000-0000-0000510F0000}"/>
    <cellStyle name="Normal 6 28 2 2" xfId="3886" xr:uid="{00000000-0005-0000-0000-0000520F0000}"/>
    <cellStyle name="Normal 6 29" xfId="3887" xr:uid="{00000000-0005-0000-0000-0000530F0000}"/>
    <cellStyle name="Normal 6 29 2" xfId="3888" xr:uid="{00000000-0005-0000-0000-0000540F0000}"/>
    <cellStyle name="Normal 6 29 2 2" xfId="3889" xr:uid="{00000000-0005-0000-0000-0000550F0000}"/>
    <cellStyle name="Normal 6 3" xfId="3890" xr:uid="{00000000-0005-0000-0000-0000560F0000}"/>
    <cellStyle name="Normal 6 3 2" xfId="3891" xr:uid="{00000000-0005-0000-0000-0000570F0000}"/>
    <cellStyle name="Normal 6 30" xfId="3892" xr:uid="{00000000-0005-0000-0000-0000580F0000}"/>
    <cellStyle name="Normal 6 30 2" xfId="3893" xr:uid="{00000000-0005-0000-0000-0000590F0000}"/>
    <cellStyle name="Normal 6 30 2 2" xfId="3894" xr:uid="{00000000-0005-0000-0000-00005A0F0000}"/>
    <cellStyle name="Normal 6 31" xfId="3895" xr:uid="{00000000-0005-0000-0000-00005B0F0000}"/>
    <cellStyle name="Normal 6 31 2" xfId="3896" xr:uid="{00000000-0005-0000-0000-00005C0F0000}"/>
    <cellStyle name="Normal 6 31 2 2" xfId="3897" xr:uid="{00000000-0005-0000-0000-00005D0F0000}"/>
    <cellStyle name="Normal 6 32" xfId="3898" xr:uid="{00000000-0005-0000-0000-00005E0F0000}"/>
    <cellStyle name="Normal 6 32 2" xfId="3899" xr:uid="{00000000-0005-0000-0000-00005F0F0000}"/>
    <cellStyle name="Normal 6 32 2 2" xfId="3900" xr:uid="{00000000-0005-0000-0000-0000600F0000}"/>
    <cellStyle name="Normal 6 33" xfId="3901" xr:uid="{00000000-0005-0000-0000-0000610F0000}"/>
    <cellStyle name="Normal 6 33 2" xfId="3902" xr:uid="{00000000-0005-0000-0000-0000620F0000}"/>
    <cellStyle name="Normal 6 33 2 2" xfId="3903" xr:uid="{00000000-0005-0000-0000-0000630F0000}"/>
    <cellStyle name="Normal 6 34" xfId="3904" xr:uid="{00000000-0005-0000-0000-0000640F0000}"/>
    <cellStyle name="Normal 6 34 2" xfId="3905" xr:uid="{00000000-0005-0000-0000-0000650F0000}"/>
    <cellStyle name="Normal 6 34 2 2" xfId="3906" xr:uid="{00000000-0005-0000-0000-0000660F0000}"/>
    <cellStyle name="Normal 6 35" xfId="3907" xr:uid="{00000000-0005-0000-0000-0000670F0000}"/>
    <cellStyle name="Normal 6 35 2" xfId="3908" xr:uid="{00000000-0005-0000-0000-0000680F0000}"/>
    <cellStyle name="Normal 6 35 2 2" xfId="3909" xr:uid="{00000000-0005-0000-0000-0000690F0000}"/>
    <cellStyle name="Normal 6 36" xfId="3910" xr:uid="{00000000-0005-0000-0000-00006A0F0000}"/>
    <cellStyle name="Normal 6 36 2" xfId="3911" xr:uid="{00000000-0005-0000-0000-00006B0F0000}"/>
    <cellStyle name="Normal 6 36 2 2" xfId="3912" xr:uid="{00000000-0005-0000-0000-00006C0F0000}"/>
    <cellStyle name="Normal 6 37" xfId="3913" xr:uid="{00000000-0005-0000-0000-00006D0F0000}"/>
    <cellStyle name="Normal 6 37 2" xfId="3914" xr:uid="{00000000-0005-0000-0000-00006E0F0000}"/>
    <cellStyle name="Normal 6 37 2 2" xfId="3915" xr:uid="{00000000-0005-0000-0000-00006F0F0000}"/>
    <cellStyle name="Normal 6 38" xfId="4909" xr:uid="{00000000-0005-0000-0000-0000700F0000}"/>
    <cellStyle name="Normal 6 38 2" xfId="5060" xr:uid="{00000000-0005-0000-0000-0000700F0000}"/>
    <cellStyle name="Normal 6 4" xfId="3916" xr:uid="{00000000-0005-0000-0000-0000710F0000}"/>
    <cellStyle name="Normal 6 4 2" xfId="3917" xr:uid="{00000000-0005-0000-0000-0000720F0000}"/>
    <cellStyle name="Normal 6 5" xfId="3918" xr:uid="{00000000-0005-0000-0000-0000730F0000}"/>
    <cellStyle name="Normal 6 5 2" xfId="3919" xr:uid="{00000000-0005-0000-0000-0000740F0000}"/>
    <cellStyle name="Normal 6 5 2 2" xfId="3920" xr:uid="{00000000-0005-0000-0000-0000750F0000}"/>
    <cellStyle name="Normal 6 6" xfId="3921" xr:uid="{00000000-0005-0000-0000-0000760F0000}"/>
    <cellStyle name="Normal 6 6 2" xfId="3922" xr:uid="{00000000-0005-0000-0000-0000770F0000}"/>
    <cellStyle name="Normal 6 6 2 2" xfId="3923" xr:uid="{00000000-0005-0000-0000-0000780F0000}"/>
    <cellStyle name="Normal 6 7" xfId="3924" xr:uid="{00000000-0005-0000-0000-0000790F0000}"/>
    <cellStyle name="Normal 6 7 2" xfId="3925" xr:uid="{00000000-0005-0000-0000-00007A0F0000}"/>
    <cellStyle name="Normal 6 7 2 2" xfId="3926" xr:uid="{00000000-0005-0000-0000-00007B0F0000}"/>
    <cellStyle name="Normal 6 8" xfId="3927" xr:uid="{00000000-0005-0000-0000-00007C0F0000}"/>
    <cellStyle name="Normal 6 8 2" xfId="3928" xr:uid="{00000000-0005-0000-0000-00007D0F0000}"/>
    <cellStyle name="Normal 6 8 2 2" xfId="3929" xr:uid="{00000000-0005-0000-0000-00007E0F0000}"/>
    <cellStyle name="Normal 6 9" xfId="3930" xr:uid="{00000000-0005-0000-0000-00007F0F0000}"/>
    <cellStyle name="Normal 6 9 2" xfId="3931" xr:uid="{00000000-0005-0000-0000-0000800F0000}"/>
    <cellStyle name="Normal 6 9 2 2" xfId="3932" xr:uid="{00000000-0005-0000-0000-0000810F0000}"/>
    <cellStyle name="Normal 6_Configurations FSC" xfId="3933" xr:uid="{00000000-0005-0000-0000-0000820F0000}"/>
    <cellStyle name="Normal 60" xfId="3934" xr:uid="{00000000-0005-0000-0000-0000830F0000}"/>
    <cellStyle name="Normal 60 2" xfId="3935" xr:uid="{00000000-0005-0000-0000-0000840F0000}"/>
    <cellStyle name="Normal 60 2 2" xfId="3936" xr:uid="{00000000-0005-0000-0000-0000850F0000}"/>
    <cellStyle name="Normal 60 2 2 2" xfId="3937" xr:uid="{00000000-0005-0000-0000-0000860F0000}"/>
    <cellStyle name="Normal 60 3" xfId="3938" xr:uid="{00000000-0005-0000-0000-0000870F0000}"/>
    <cellStyle name="Normal 60 3 2" xfId="3939" xr:uid="{00000000-0005-0000-0000-0000880F0000}"/>
    <cellStyle name="Normal 60 3 2 2" xfId="3940" xr:uid="{00000000-0005-0000-0000-0000890F0000}"/>
    <cellStyle name="Normal 60 4" xfId="3941" xr:uid="{00000000-0005-0000-0000-00008A0F0000}"/>
    <cellStyle name="Normal 60 4 2" xfId="3942" xr:uid="{00000000-0005-0000-0000-00008B0F0000}"/>
    <cellStyle name="Normal 60 4 2 2" xfId="3943" xr:uid="{00000000-0005-0000-0000-00008C0F0000}"/>
    <cellStyle name="Normal 60 5" xfId="3944" xr:uid="{00000000-0005-0000-0000-00008D0F0000}"/>
    <cellStyle name="Normal 60 5 2" xfId="3945" xr:uid="{00000000-0005-0000-0000-00008E0F0000}"/>
    <cellStyle name="Normal 60 5 2 2" xfId="3946" xr:uid="{00000000-0005-0000-0000-00008F0F0000}"/>
    <cellStyle name="Normal 60 6" xfId="3947" xr:uid="{00000000-0005-0000-0000-0000900F0000}"/>
    <cellStyle name="Normal 60 6 2" xfId="3948" xr:uid="{00000000-0005-0000-0000-0000910F0000}"/>
    <cellStyle name="Normal 60 6 2 2" xfId="3949" xr:uid="{00000000-0005-0000-0000-0000920F0000}"/>
    <cellStyle name="Normal 60 7" xfId="3950" xr:uid="{00000000-0005-0000-0000-0000930F0000}"/>
    <cellStyle name="Normal 60 7 2" xfId="3951" xr:uid="{00000000-0005-0000-0000-0000940F0000}"/>
    <cellStyle name="Normal 60_2010-06-01_Intel Server Basket_HP May 2010 (2)" xfId="3952" xr:uid="{00000000-0005-0000-0000-0000950F0000}"/>
    <cellStyle name="Normal 61" xfId="3953" xr:uid="{00000000-0005-0000-0000-0000960F0000}"/>
    <cellStyle name="Normal 61 2" xfId="3954" xr:uid="{00000000-0005-0000-0000-0000970F0000}"/>
    <cellStyle name="Normal 61 2 2" xfId="3955" xr:uid="{00000000-0005-0000-0000-0000980F0000}"/>
    <cellStyle name="Normal 62" xfId="3956" xr:uid="{00000000-0005-0000-0000-0000990F0000}"/>
    <cellStyle name="Normal 62 2" xfId="3957" xr:uid="{00000000-0005-0000-0000-00009A0F0000}"/>
    <cellStyle name="Normal 62 2 2" xfId="3958" xr:uid="{00000000-0005-0000-0000-00009B0F0000}"/>
    <cellStyle name="Normal 63" xfId="3959" xr:uid="{00000000-0005-0000-0000-00009C0F0000}"/>
    <cellStyle name="Normal 63 2" xfId="3960" xr:uid="{00000000-0005-0000-0000-00009D0F0000}"/>
    <cellStyle name="Normal 63 2 2" xfId="3961" xr:uid="{00000000-0005-0000-0000-00009E0F0000}"/>
    <cellStyle name="Normal 64" xfId="3962" xr:uid="{00000000-0005-0000-0000-00009F0F0000}"/>
    <cellStyle name="Normal 64 2" xfId="3963" xr:uid="{00000000-0005-0000-0000-0000A00F0000}"/>
    <cellStyle name="Normal 64 2 2" xfId="3964" xr:uid="{00000000-0005-0000-0000-0000A10F0000}"/>
    <cellStyle name="Normal 65" xfId="3965" xr:uid="{00000000-0005-0000-0000-0000A20F0000}"/>
    <cellStyle name="Normal 65 2" xfId="3966" xr:uid="{00000000-0005-0000-0000-0000A30F0000}"/>
    <cellStyle name="Normal 65 2 2" xfId="3967" xr:uid="{00000000-0005-0000-0000-0000A40F0000}"/>
    <cellStyle name="Normal 66" xfId="3968" xr:uid="{00000000-0005-0000-0000-0000A50F0000}"/>
    <cellStyle name="Normal 66 2" xfId="3969" xr:uid="{00000000-0005-0000-0000-0000A60F0000}"/>
    <cellStyle name="Normal 66 2 2" xfId="3970" xr:uid="{00000000-0005-0000-0000-0000A70F0000}"/>
    <cellStyle name="Normal 67" xfId="3971" xr:uid="{00000000-0005-0000-0000-0000A80F0000}"/>
    <cellStyle name="Normal 67 2" xfId="3972" xr:uid="{00000000-0005-0000-0000-0000A90F0000}"/>
    <cellStyle name="Normal 67 2 2" xfId="3973" xr:uid="{00000000-0005-0000-0000-0000AA0F0000}"/>
    <cellStyle name="Normal 68" xfId="3974" xr:uid="{00000000-0005-0000-0000-0000AB0F0000}"/>
    <cellStyle name="Normal 68 2" xfId="3975" xr:uid="{00000000-0005-0000-0000-0000AC0F0000}"/>
    <cellStyle name="Normal 68 2 2" xfId="3976" xr:uid="{00000000-0005-0000-0000-0000AD0F0000}"/>
    <cellStyle name="Normal 69" xfId="3977" xr:uid="{00000000-0005-0000-0000-0000AE0F0000}"/>
    <cellStyle name="Normal 69 2" xfId="3978" xr:uid="{00000000-0005-0000-0000-0000AF0F0000}"/>
    <cellStyle name="Normal 69 2 2" xfId="3979" xr:uid="{00000000-0005-0000-0000-0000B00F0000}"/>
    <cellStyle name="Normal 7" xfId="3980" xr:uid="{00000000-0005-0000-0000-0000B10F0000}"/>
    <cellStyle name="Normal 7 10" xfId="3981" xr:uid="{00000000-0005-0000-0000-0000B20F0000}"/>
    <cellStyle name="Normal 7 10 2" xfId="3982" xr:uid="{00000000-0005-0000-0000-0000B30F0000}"/>
    <cellStyle name="Normal 7 10 2 2" xfId="3983" xr:uid="{00000000-0005-0000-0000-0000B40F0000}"/>
    <cellStyle name="Normal 7 11" xfId="3984" xr:uid="{00000000-0005-0000-0000-0000B50F0000}"/>
    <cellStyle name="Normal 7 11 2" xfId="3985" xr:uid="{00000000-0005-0000-0000-0000B60F0000}"/>
    <cellStyle name="Normal 7 11 2 2" xfId="3986" xr:uid="{00000000-0005-0000-0000-0000B70F0000}"/>
    <cellStyle name="Normal 7 12" xfId="3987" xr:uid="{00000000-0005-0000-0000-0000B80F0000}"/>
    <cellStyle name="Normal 7 12 2" xfId="3988" xr:uid="{00000000-0005-0000-0000-0000B90F0000}"/>
    <cellStyle name="Normal 7 12 2 2" xfId="3989" xr:uid="{00000000-0005-0000-0000-0000BA0F0000}"/>
    <cellStyle name="Normal 7 13" xfId="3990" xr:uid="{00000000-0005-0000-0000-0000BB0F0000}"/>
    <cellStyle name="Normal 7 13 2" xfId="3991" xr:uid="{00000000-0005-0000-0000-0000BC0F0000}"/>
    <cellStyle name="Normal 7 13 2 2" xfId="3992" xr:uid="{00000000-0005-0000-0000-0000BD0F0000}"/>
    <cellStyle name="Normal 7 14" xfId="3993" xr:uid="{00000000-0005-0000-0000-0000BE0F0000}"/>
    <cellStyle name="Normal 7 14 2" xfId="3994" xr:uid="{00000000-0005-0000-0000-0000BF0F0000}"/>
    <cellStyle name="Normal 7 14 2 2" xfId="3995" xr:uid="{00000000-0005-0000-0000-0000C00F0000}"/>
    <cellStyle name="Normal 7 15" xfId="3996" xr:uid="{00000000-0005-0000-0000-0000C10F0000}"/>
    <cellStyle name="Normal 7 15 2" xfId="3997" xr:uid="{00000000-0005-0000-0000-0000C20F0000}"/>
    <cellStyle name="Normal 7 15 2 2" xfId="3998" xr:uid="{00000000-0005-0000-0000-0000C30F0000}"/>
    <cellStyle name="Normal 7 16" xfId="3999" xr:uid="{00000000-0005-0000-0000-0000C40F0000}"/>
    <cellStyle name="Normal 7 16 2" xfId="4000" xr:uid="{00000000-0005-0000-0000-0000C50F0000}"/>
    <cellStyle name="Normal 7 16 2 2" xfId="4001" xr:uid="{00000000-0005-0000-0000-0000C60F0000}"/>
    <cellStyle name="Normal 7 17" xfId="4002" xr:uid="{00000000-0005-0000-0000-0000C70F0000}"/>
    <cellStyle name="Normal 7 17 2" xfId="4003" xr:uid="{00000000-0005-0000-0000-0000C80F0000}"/>
    <cellStyle name="Normal 7 17 2 2" xfId="4004" xr:uid="{00000000-0005-0000-0000-0000C90F0000}"/>
    <cellStyle name="Normal 7 18" xfId="4005" xr:uid="{00000000-0005-0000-0000-0000CA0F0000}"/>
    <cellStyle name="Normal 7 18 2" xfId="4006" xr:uid="{00000000-0005-0000-0000-0000CB0F0000}"/>
    <cellStyle name="Normal 7 18 2 2" xfId="4007" xr:uid="{00000000-0005-0000-0000-0000CC0F0000}"/>
    <cellStyle name="Normal 7 19" xfId="4008" xr:uid="{00000000-0005-0000-0000-0000CD0F0000}"/>
    <cellStyle name="Normal 7 19 2" xfId="4009" xr:uid="{00000000-0005-0000-0000-0000CE0F0000}"/>
    <cellStyle name="Normal 7 19 2 2" xfId="4010" xr:uid="{00000000-0005-0000-0000-0000CF0F0000}"/>
    <cellStyle name="Normal 7 2" xfId="4011" xr:uid="{00000000-0005-0000-0000-0000D00F0000}"/>
    <cellStyle name="Normal 7 2 10" xfId="4012" xr:uid="{00000000-0005-0000-0000-0000D10F0000}"/>
    <cellStyle name="Normal 7 2 10 2" xfId="4013" xr:uid="{00000000-0005-0000-0000-0000D20F0000}"/>
    <cellStyle name="Normal 7 2 11" xfId="4014" xr:uid="{00000000-0005-0000-0000-0000D30F0000}"/>
    <cellStyle name="Normal 7 2 11 2" xfId="4015" xr:uid="{00000000-0005-0000-0000-0000D40F0000}"/>
    <cellStyle name="Normal 7 2 12" xfId="4016" xr:uid="{00000000-0005-0000-0000-0000D50F0000}"/>
    <cellStyle name="Normal 7 2 12 2" xfId="4017" xr:uid="{00000000-0005-0000-0000-0000D60F0000}"/>
    <cellStyle name="Normal 7 2 13" xfId="4018" xr:uid="{00000000-0005-0000-0000-0000D70F0000}"/>
    <cellStyle name="Normal 7 2 13 2" xfId="4019" xr:uid="{00000000-0005-0000-0000-0000D80F0000}"/>
    <cellStyle name="Normal 7 2 14" xfId="4020" xr:uid="{00000000-0005-0000-0000-0000D90F0000}"/>
    <cellStyle name="Normal 7 2 14 2" xfId="4021" xr:uid="{00000000-0005-0000-0000-0000DA0F0000}"/>
    <cellStyle name="Normal 7 2 15" xfId="4022" xr:uid="{00000000-0005-0000-0000-0000DB0F0000}"/>
    <cellStyle name="Normal 7 2 15 2" xfId="4023" xr:uid="{00000000-0005-0000-0000-0000DC0F0000}"/>
    <cellStyle name="Normal 7 2 16" xfId="4024" xr:uid="{00000000-0005-0000-0000-0000DD0F0000}"/>
    <cellStyle name="Normal 7 2 16 2" xfId="4025" xr:uid="{00000000-0005-0000-0000-0000DE0F0000}"/>
    <cellStyle name="Normal 7 2 17" xfId="4026" xr:uid="{00000000-0005-0000-0000-0000DF0F0000}"/>
    <cellStyle name="Normal 7 2 17 2" xfId="4027" xr:uid="{00000000-0005-0000-0000-0000E00F0000}"/>
    <cellStyle name="Normal 7 2 18" xfId="4028" xr:uid="{00000000-0005-0000-0000-0000E10F0000}"/>
    <cellStyle name="Normal 7 2 18 2" xfId="4029" xr:uid="{00000000-0005-0000-0000-0000E20F0000}"/>
    <cellStyle name="Normal 7 2 19" xfId="4030" xr:uid="{00000000-0005-0000-0000-0000E30F0000}"/>
    <cellStyle name="Normal 7 2 19 2" xfId="4031" xr:uid="{00000000-0005-0000-0000-0000E40F0000}"/>
    <cellStyle name="Normal 7 2 2" xfId="4032" xr:uid="{00000000-0005-0000-0000-0000E50F0000}"/>
    <cellStyle name="Normal 7 2 2 2" xfId="4033" xr:uid="{00000000-0005-0000-0000-0000E60F0000}"/>
    <cellStyle name="Normal 7 2 20" xfId="4034" xr:uid="{00000000-0005-0000-0000-0000E70F0000}"/>
    <cellStyle name="Normal 7 2 20 2" xfId="4035" xr:uid="{00000000-0005-0000-0000-0000E80F0000}"/>
    <cellStyle name="Normal 7 2 21" xfId="4036" xr:uid="{00000000-0005-0000-0000-0000E90F0000}"/>
    <cellStyle name="Normal 7 2 21 2" xfId="4037" xr:uid="{00000000-0005-0000-0000-0000EA0F0000}"/>
    <cellStyle name="Normal 7 2 22" xfId="4038" xr:uid="{00000000-0005-0000-0000-0000EB0F0000}"/>
    <cellStyle name="Normal 7 2 22 2" xfId="4039" xr:uid="{00000000-0005-0000-0000-0000EC0F0000}"/>
    <cellStyle name="Normal 7 2 23" xfId="4040" xr:uid="{00000000-0005-0000-0000-0000ED0F0000}"/>
    <cellStyle name="Normal 7 2 23 2" xfId="4041" xr:uid="{00000000-0005-0000-0000-0000EE0F0000}"/>
    <cellStyle name="Normal 7 2 24" xfId="4042" xr:uid="{00000000-0005-0000-0000-0000EF0F0000}"/>
    <cellStyle name="Normal 7 2 24 2" xfId="4043" xr:uid="{00000000-0005-0000-0000-0000F00F0000}"/>
    <cellStyle name="Normal 7 2 25" xfId="4044" xr:uid="{00000000-0005-0000-0000-0000F10F0000}"/>
    <cellStyle name="Normal 7 2 25 2" xfId="4045" xr:uid="{00000000-0005-0000-0000-0000F20F0000}"/>
    <cellStyle name="Normal 7 2 26" xfId="4046" xr:uid="{00000000-0005-0000-0000-0000F30F0000}"/>
    <cellStyle name="Normal 7 2 26 2" xfId="4047" xr:uid="{00000000-0005-0000-0000-0000F40F0000}"/>
    <cellStyle name="Normal 7 2 27" xfId="4048" xr:uid="{00000000-0005-0000-0000-0000F50F0000}"/>
    <cellStyle name="Normal 7 2 27 2" xfId="4049" xr:uid="{00000000-0005-0000-0000-0000F60F0000}"/>
    <cellStyle name="Normal 7 2 28" xfId="4050" xr:uid="{00000000-0005-0000-0000-0000F70F0000}"/>
    <cellStyle name="Normal 7 2 28 2" xfId="4051" xr:uid="{00000000-0005-0000-0000-0000F80F0000}"/>
    <cellStyle name="Normal 7 2 29" xfId="4052" xr:uid="{00000000-0005-0000-0000-0000F90F0000}"/>
    <cellStyle name="Normal 7 2 29 2" xfId="4053" xr:uid="{00000000-0005-0000-0000-0000FA0F0000}"/>
    <cellStyle name="Normal 7 2 3" xfId="4054" xr:uid="{00000000-0005-0000-0000-0000FB0F0000}"/>
    <cellStyle name="Normal 7 2 3 2" xfId="4055" xr:uid="{00000000-0005-0000-0000-0000FC0F0000}"/>
    <cellStyle name="Normal 7 2 30" xfId="4056" xr:uid="{00000000-0005-0000-0000-0000FD0F0000}"/>
    <cellStyle name="Normal 7 2 30 2" xfId="4057" xr:uid="{00000000-0005-0000-0000-0000FE0F0000}"/>
    <cellStyle name="Normal 7 2 31" xfId="4058" xr:uid="{00000000-0005-0000-0000-0000FF0F0000}"/>
    <cellStyle name="Normal 7 2 31 2" xfId="4059" xr:uid="{00000000-0005-0000-0000-000000100000}"/>
    <cellStyle name="Normal 7 2 32" xfId="4060" xr:uid="{00000000-0005-0000-0000-000001100000}"/>
    <cellStyle name="Normal 7 2 32 2" xfId="4061" xr:uid="{00000000-0005-0000-0000-000002100000}"/>
    <cellStyle name="Normal 7 2 33" xfId="4062" xr:uid="{00000000-0005-0000-0000-000003100000}"/>
    <cellStyle name="Normal 7 2 33 2" xfId="4063" xr:uid="{00000000-0005-0000-0000-000004100000}"/>
    <cellStyle name="Normal 7 2 34" xfId="4064" xr:uid="{00000000-0005-0000-0000-000005100000}"/>
    <cellStyle name="Normal 7 2 34 2" xfId="4065" xr:uid="{00000000-0005-0000-0000-000006100000}"/>
    <cellStyle name="Normal 7 2 35" xfId="4066" xr:uid="{00000000-0005-0000-0000-000007100000}"/>
    <cellStyle name="Normal 7 2 35 2" xfId="4067" xr:uid="{00000000-0005-0000-0000-000008100000}"/>
    <cellStyle name="Normal 7 2 36" xfId="4068" xr:uid="{00000000-0005-0000-0000-000009100000}"/>
    <cellStyle name="Normal 7 2 4" xfId="4069" xr:uid="{00000000-0005-0000-0000-00000A100000}"/>
    <cellStyle name="Normal 7 2 4 2" xfId="4070" xr:uid="{00000000-0005-0000-0000-00000B100000}"/>
    <cellStyle name="Normal 7 2 5" xfId="4071" xr:uid="{00000000-0005-0000-0000-00000C100000}"/>
    <cellStyle name="Normal 7 2 5 2" xfId="4072" xr:uid="{00000000-0005-0000-0000-00000D100000}"/>
    <cellStyle name="Normal 7 2 6" xfId="4073" xr:uid="{00000000-0005-0000-0000-00000E100000}"/>
    <cellStyle name="Normal 7 2 6 2" xfId="4074" xr:uid="{00000000-0005-0000-0000-00000F100000}"/>
    <cellStyle name="Normal 7 2 7" xfId="4075" xr:uid="{00000000-0005-0000-0000-000010100000}"/>
    <cellStyle name="Normal 7 2 7 2" xfId="4076" xr:uid="{00000000-0005-0000-0000-000011100000}"/>
    <cellStyle name="Normal 7 2 8" xfId="4077" xr:uid="{00000000-0005-0000-0000-000012100000}"/>
    <cellStyle name="Normal 7 2 8 2" xfId="4078" xr:uid="{00000000-0005-0000-0000-000013100000}"/>
    <cellStyle name="Normal 7 2 9" xfId="4079" xr:uid="{00000000-0005-0000-0000-000014100000}"/>
    <cellStyle name="Normal 7 2 9 2" xfId="4080" xr:uid="{00000000-0005-0000-0000-000015100000}"/>
    <cellStyle name="Normal 7 2_Configurations FSC" xfId="4081" xr:uid="{00000000-0005-0000-0000-000016100000}"/>
    <cellStyle name="Normal 7 20" xfId="4082" xr:uid="{00000000-0005-0000-0000-000017100000}"/>
    <cellStyle name="Normal 7 20 2" xfId="4083" xr:uid="{00000000-0005-0000-0000-000018100000}"/>
    <cellStyle name="Normal 7 20 2 2" xfId="4084" xr:uid="{00000000-0005-0000-0000-000019100000}"/>
    <cellStyle name="Normal 7 21" xfId="4085" xr:uid="{00000000-0005-0000-0000-00001A100000}"/>
    <cellStyle name="Normal 7 21 2" xfId="4086" xr:uid="{00000000-0005-0000-0000-00001B100000}"/>
    <cellStyle name="Normal 7 21 2 2" xfId="4087" xr:uid="{00000000-0005-0000-0000-00001C100000}"/>
    <cellStyle name="Normal 7 22" xfId="4088" xr:uid="{00000000-0005-0000-0000-00001D100000}"/>
    <cellStyle name="Normal 7 22 2" xfId="4089" xr:uid="{00000000-0005-0000-0000-00001E100000}"/>
    <cellStyle name="Normal 7 22 2 2" xfId="4090" xr:uid="{00000000-0005-0000-0000-00001F100000}"/>
    <cellStyle name="Normal 7 23" xfId="4091" xr:uid="{00000000-0005-0000-0000-000020100000}"/>
    <cellStyle name="Normal 7 23 2" xfId="4092" xr:uid="{00000000-0005-0000-0000-000021100000}"/>
    <cellStyle name="Normal 7 23 2 2" xfId="4093" xr:uid="{00000000-0005-0000-0000-000022100000}"/>
    <cellStyle name="Normal 7 24" xfId="4094" xr:uid="{00000000-0005-0000-0000-000023100000}"/>
    <cellStyle name="Normal 7 24 2" xfId="4095" xr:uid="{00000000-0005-0000-0000-000024100000}"/>
    <cellStyle name="Normal 7 24 2 2" xfId="4096" xr:uid="{00000000-0005-0000-0000-000025100000}"/>
    <cellStyle name="Normal 7 25" xfId="4097" xr:uid="{00000000-0005-0000-0000-000026100000}"/>
    <cellStyle name="Normal 7 25 2" xfId="4098" xr:uid="{00000000-0005-0000-0000-000027100000}"/>
    <cellStyle name="Normal 7 25 2 2" xfId="4099" xr:uid="{00000000-0005-0000-0000-000028100000}"/>
    <cellStyle name="Normal 7 26" xfId="4100" xr:uid="{00000000-0005-0000-0000-000029100000}"/>
    <cellStyle name="Normal 7 26 2" xfId="4101" xr:uid="{00000000-0005-0000-0000-00002A100000}"/>
    <cellStyle name="Normal 7 26 2 2" xfId="4102" xr:uid="{00000000-0005-0000-0000-00002B100000}"/>
    <cellStyle name="Normal 7 27" xfId="4103" xr:uid="{00000000-0005-0000-0000-00002C100000}"/>
    <cellStyle name="Normal 7 27 2" xfId="4104" xr:uid="{00000000-0005-0000-0000-00002D100000}"/>
    <cellStyle name="Normal 7 27 2 2" xfId="4105" xr:uid="{00000000-0005-0000-0000-00002E100000}"/>
    <cellStyle name="Normal 7 28" xfId="4106" xr:uid="{00000000-0005-0000-0000-00002F100000}"/>
    <cellStyle name="Normal 7 28 2" xfId="4107" xr:uid="{00000000-0005-0000-0000-000030100000}"/>
    <cellStyle name="Normal 7 28 2 2" xfId="4108" xr:uid="{00000000-0005-0000-0000-000031100000}"/>
    <cellStyle name="Normal 7 29" xfId="4109" xr:uid="{00000000-0005-0000-0000-000032100000}"/>
    <cellStyle name="Normal 7 29 2" xfId="4110" xr:uid="{00000000-0005-0000-0000-000033100000}"/>
    <cellStyle name="Normal 7 29 2 2" xfId="4111" xr:uid="{00000000-0005-0000-0000-000034100000}"/>
    <cellStyle name="Normal 7 3" xfId="4112" xr:uid="{00000000-0005-0000-0000-000035100000}"/>
    <cellStyle name="Normal 7 3 2" xfId="4113" xr:uid="{00000000-0005-0000-0000-000036100000}"/>
    <cellStyle name="Normal 7 30" xfId="4114" xr:uid="{00000000-0005-0000-0000-000037100000}"/>
    <cellStyle name="Normal 7 30 2" xfId="4115" xr:uid="{00000000-0005-0000-0000-000038100000}"/>
    <cellStyle name="Normal 7 30 2 2" xfId="4116" xr:uid="{00000000-0005-0000-0000-000039100000}"/>
    <cellStyle name="Normal 7 31" xfId="4117" xr:uid="{00000000-0005-0000-0000-00003A100000}"/>
    <cellStyle name="Normal 7 31 2" xfId="4118" xr:uid="{00000000-0005-0000-0000-00003B100000}"/>
    <cellStyle name="Normal 7 31 2 2" xfId="4119" xr:uid="{00000000-0005-0000-0000-00003C100000}"/>
    <cellStyle name="Normal 7 32" xfId="4120" xr:uid="{00000000-0005-0000-0000-00003D100000}"/>
    <cellStyle name="Normal 7 32 2" xfId="4121" xr:uid="{00000000-0005-0000-0000-00003E100000}"/>
    <cellStyle name="Normal 7 32 2 2" xfId="4122" xr:uid="{00000000-0005-0000-0000-00003F100000}"/>
    <cellStyle name="Normal 7 33" xfId="4123" xr:uid="{00000000-0005-0000-0000-000040100000}"/>
    <cellStyle name="Normal 7 33 2" xfId="4124" xr:uid="{00000000-0005-0000-0000-000041100000}"/>
    <cellStyle name="Normal 7 33 2 2" xfId="4125" xr:uid="{00000000-0005-0000-0000-000042100000}"/>
    <cellStyle name="Normal 7 34" xfId="4126" xr:uid="{00000000-0005-0000-0000-000043100000}"/>
    <cellStyle name="Normal 7 34 2" xfId="4127" xr:uid="{00000000-0005-0000-0000-000044100000}"/>
    <cellStyle name="Normal 7 34 2 2" xfId="4128" xr:uid="{00000000-0005-0000-0000-000045100000}"/>
    <cellStyle name="Normal 7 35" xfId="4129" xr:uid="{00000000-0005-0000-0000-000046100000}"/>
    <cellStyle name="Normal 7 35 2" xfId="4130" xr:uid="{00000000-0005-0000-0000-000047100000}"/>
    <cellStyle name="Normal 7 35 2 2" xfId="4131" xr:uid="{00000000-0005-0000-0000-000048100000}"/>
    <cellStyle name="Normal 7 36" xfId="4132" xr:uid="{00000000-0005-0000-0000-000049100000}"/>
    <cellStyle name="Normal 7 36 2" xfId="4133" xr:uid="{00000000-0005-0000-0000-00004A100000}"/>
    <cellStyle name="Normal 7 36 2 2" xfId="4134" xr:uid="{00000000-0005-0000-0000-00004B100000}"/>
    <cellStyle name="Normal 7 37" xfId="4135" xr:uid="{00000000-0005-0000-0000-00004C100000}"/>
    <cellStyle name="Normal 7 37 2" xfId="4136" xr:uid="{00000000-0005-0000-0000-00004D100000}"/>
    <cellStyle name="Normal 7 37 2 2" xfId="4137" xr:uid="{00000000-0005-0000-0000-00004E100000}"/>
    <cellStyle name="Normal 7 38" xfId="4910" xr:uid="{00000000-0005-0000-0000-00004F100000}"/>
    <cellStyle name="Normal 7 38 2" xfId="5061" xr:uid="{00000000-0005-0000-0000-00004F100000}"/>
    <cellStyle name="Normal 7 4" xfId="4138" xr:uid="{00000000-0005-0000-0000-000050100000}"/>
    <cellStyle name="Normal 7 4 2" xfId="4139" xr:uid="{00000000-0005-0000-0000-000051100000}"/>
    <cellStyle name="Normal 7 5" xfId="4140" xr:uid="{00000000-0005-0000-0000-000052100000}"/>
    <cellStyle name="Normal 7 5 2" xfId="4141" xr:uid="{00000000-0005-0000-0000-000053100000}"/>
    <cellStyle name="Normal 7 5 2 2" xfId="4142" xr:uid="{00000000-0005-0000-0000-000054100000}"/>
    <cellStyle name="Normal 7 6" xfId="4143" xr:uid="{00000000-0005-0000-0000-000055100000}"/>
    <cellStyle name="Normal 7 6 2" xfId="4144" xr:uid="{00000000-0005-0000-0000-000056100000}"/>
    <cellStyle name="Normal 7 6 2 2" xfId="4145" xr:uid="{00000000-0005-0000-0000-000057100000}"/>
    <cellStyle name="Normal 7 7" xfId="4146" xr:uid="{00000000-0005-0000-0000-000058100000}"/>
    <cellStyle name="Normal 7 7 2" xfId="4147" xr:uid="{00000000-0005-0000-0000-000059100000}"/>
    <cellStyle name="Normal 7 7 2 2" xfId="4148" xr:uid="{00000000-0005-0000-0000-00005A100000}"/>
    <cellStyle name="Normal 7 8" xfId="4149" xr:uid="{00000000-0005-0000-0000-00005B100000}"/>
    <cellStyle name="Normal 7 8 2" xfId="4150" xr:uid="{00000000-0005-0000-0000-00005C100000}"/>
    <cellStyle name="Normal 7 8 2 2" xfId="4151" xr:uid="{00000000-0005-0000-0000-00005D100000}"/>
    <cellStyle name="Normal 7 9" xfId="4152" xr:uid="{00000000-0005-0000-0000-00005E100000}"/>
    <cellStyle name="Normal 7 9 2" xfId="4153" xr:uid="{00000000-0005-0000-0000-00005F100000}"/>
    <cellStyle name="Normal 7 9 2 2" xfId="4154" xr:uid="{00000000-0005-0000-0000-000060100000}"/>
    <cellStyle name="Normal 7_Configurations FSC" xfId="4155" xr:uid="{00000000-0005-0000-0000-000061100000}"/>
    <cellStyle name="Normal 70" xfId="4156" xr:uid="{00000000-0005-0000-0000-000062100000}"/>
    <cellStyle name="Normal 70 2" xfId="4157" xr:uid="{00000000-0005-0000-0000-000063100000}"/>
    <cellStyle name="Normal 70 2 2" xfId="4158" xr:uid="{00000000-0005-0000-0000-000064100000}"/>
    <cellStyle name="Normal 71" xfId="4159" xr:uid="{00000000-0005-0000-0000-000065100000}"/>
    <cellStyle name="Normal 71 2" xfId="4160" xr:uid="{00000000-0005-0000-0000-000066100000}"/>
    <cellStyle name="Normal 71 2 2" xfId="4161" xr:uid="{00000000-0005-0000-0000-000067100000}"/>
    <cellStyle name="Normal 71 2 2 2" xfId="4162" xr:uid="{00000000-0005-0000-0000-000068100000}"/>
    <cellStyle name="Normal 71 3" xfId="4163" xr:uid="{00000000-0005-0000-0000-000069100000}"/>
    <cellStyle name="Normal 71 3 2" xfId="4164" xr:uid="{00000000-0005-0000-0000-00006A100000}"/>
    <cellStyle name="Normal 71 3 2 2" xfId="4165" xr:uid="{00000000-0005-0000-0000-00006B100000}"/>
    <cellStyle name="Normal 71 4" xfId="4166" xr:uid="{00000000-0005-0000-0000-00006C100000}"/>
    <cellStyle name="Normal 71 4 2" xfId="4167" xr:uid="{00000000-0005-0000-0000-00006D100000}"/>
    <cellStyle name="Normal 71 4 2 2" xfId="4168" xr:uid="{00000000-0005-0000-0000-00006E100000}"/>
    <cellStyle name="Normal 71 5" xfId="4169" xr:uid="{00000000-0005-0000-0000-00006F100000}"/>
    <cellStyle name="Normal 71 5 2" xfId="4170" xr:uid="{00000000-0005-0000-0000-000070100000}"/>
    <cellStyle name="Normal 71 5 2 2" xfId="4171" xr:uid="{00000000-0005-0000-0000-000071100000}"/>
    <cellStyle name="Normal 71 6" xfId="4172" xr:uid="{00000000-0005-0000-0000-000072100000}"/>
    <cellStyle name="Normal 71 6 2" xfId="4173" xr:uid="{00000000-0005-0000-0000-000073100000}"/>
    <cellStyle name="Normal 71 6 2 2" xfId="4174" xr:uid="{00000000-0005-0000-0000-000074100000}"/>
    <cellStyle name="Normal 71 7" xfId="4175" xr:uid="{00000000-0005-0000-0000-000075100000}"/>
    <cellStyle name="Normal 71 7 2" xfId="4176" xr:uid="{00000000-0005-0000-0000-000076100000}"/>
    <cellStyle name="Normal 71_2010-06-01_Intel Server Basket_HP May 2010 (2)" xfId="4177" xr:uid="{00000000-0005-0000-0000-000077100000}"/>
    <cellStyle name="Normal 72" xfId="4178" xr:uid="{00000000-0005-0000-0000-000078100000}"/>
    <cellStyle name="Normal 72 2" xfId="4179" xr:uid="{00000000-0005-0000-0000-000079100000}"/>
    <cellStyle name="Normal 72 2 2" xfId="4180" xr:uid="{00000000-0005-0000-0000-00007A100000}"/>
    <cellStyle name="Normal 72 2 2 2" xfId="4181" xr:uid="{00000000-0005-0000-0000-00007B100000}"/>
    <cellStyle name="Normal 72 3" xfId="4182" xr:uid="{00000000-0005-0000-0000-00007C100000}"/>
    <cellStyle name="Normal 72 3 2" xfId="4183" xr:uid="{00000000-0005-0000-0000-00007D100000}"/>
    <cellStyle name="Normal 72 3 2 2" xfId="4184" xr:uid="{00000000-0005-0000-0000-00007E100000}"/>
    <cellStyle name="Normal 72 4" xfId="4185" xr:uid="{00000000-0005-0000-0000-00007F100000}"/>
    <cellStyle name="Normal 72 4 2" xfId="4186" xr:uid="{00000000-0005-0000-0000-000080100000}"/>
    <cellStyle name="Normal 72 4 2 2" xfId="4187" xr:uid="{00000000-0005-0000-0000-000081100000}"/>
    <cellStyle name="Normal 72 5" xfId="4188" xr:uid="{00000000-0005-0000-0000-000082100000}"/>
    <cellStyle name="Normal 72 5 2" xfId="4189" xr:uid="{00000000-0005-0000-0000-000083100000}"/>
    <cellStyle name="Normal 72 5 2 2" xfId="4190" xr:uid="{00000000-0005-0000-0000-000084100000}"/>
    <cellStyle name="Normal 72 6" xfId="4191" xr:uid="{00000000-0005-0000-0000-000085100000}"/>
    <cellStyle name="Normal 72 6 2" xfId="4192" xr:uid="{00000000-0005-0000-0000-000086100000}"/>
    <cellStyle name="Normal 72 6 2 2" xfId="4193" xr:uid="{00000000-0005-0000-0000-000087100000}"/>
    <cellStyle name="Normal 72 7" xfId="4194" xr:uid="{00000000-0005-0000-0000-000088100000}"/>
    <cellStyle name="Normal 72 7 2" xfId="4195" xr:uid="{00000000-0005-0000-0000-000089100000}"/>
    <cellStyle name="Normal 72_2010-06-01_Intel Server Basket_HP May 2010 (2)" xfId="4196" xr:uid="{00000000-0005-0000-0000-00008A100000}"/>
    <cellStyle name="Normal 73" xfId="4197" xr:uid="{00000000-0005-0000-0000-00008B100000}"/>
    <cellStyle name="Normal 73 2" xfId="4198" xr:uid="{00000000-0005-0000-0000-00008C100000}"/>
    <cellStyle name="Normal 73 2 2" xfId="4199" xr:uid="{00000000-0005-0000-0000-00008D100000}"/>
    <cellStyle name="Normal 74" xfId="4200" xr:uid="{00000000-0005-0000-0000-00008E100000}"/>
    <cellStyle name="Normal 74 2" xfId="4201" xr:uid="{00000000-0005-0000-0000-00008F100000}"/>
    <cellStyle name="Normal 74 2 2" xfId="4202" xr:uid="{00000000-0005-0000-0000-000090100000}"/>
    <cellStyle name="Normal 75" xfId="4203" xr:uid="{00000000-0005-0000-0000-000091100000}"/>
    <cellStyle name="Normal 75 2" xfId="4204" xr:uid="{00000000-0005-0000-0000-000092100000}"/>
    <cellStyle name="Normal 75 2 2" xfId="4205" xr:uid="{00000000-0005-0000-0000-000093100000}"/>
    <cellStyle name="Normal 76" xfId="4206" xr:uid="{00000000-0005-0000-0000-000094100000}"/>
    <cellStyle name="Normal 76 2" xfId="4207" xr:uid="{00000000-0005-0000-0000-000095100000}"/>
    <cellStyle name="Normal 76 2 2" xfId="4208" xr:uid="{00000000-0005-0000-0000-000096100000}"/>
    <cellStyle name="Normal 76 2 2 2" xfId="4209" xr:uid="{00000000-0005-0000-0000-000097100000}"/>
    <cellStyle name="Normal 76 3" xfId="4210" xr:uid="{00000000-0005-0000-0000-000098100000}"/>
    <cellStyle name="Normal 76 3 2" xfId="4211" xr:uid="{00000000-0005-0000-0000-000099100000}"/>
    <cellStyle name="Normal 76 3 2 2" xfId="4212" xr:uid="{00000000-0005-0000-0000-00009A100000}"/>
    <cellStyle name="Normal 76 4" xfId="4213" xr:uid="{00000000-0005-0000-0000-00009B100000}"/>
    <cellStyle name="Normal 76 4 2" xfId="4214" xr:uid="{00000000-0005-0000-0000-00009C100000}"/>
    <cellStyle name="Normal 76 4 2 2" xfId="4215" xr:uid="{00000000-0005-0000-0000-00009D100000}"/>
    <cellStyle name="Normal 76 5" xfId="4216" xr:uid="{00000000-0005-0000-0000-00009E100000}"/>
    <cellStyle name="Normal 76 5 2" xfId="4217" xr:uid="{00000000-0005-0000-0000-00009F100000}"/>
    <cellStyle name="Normal 76 5 2 2" xfId="4218" xr:uid="{00000000-0005-0000-0000-0000A0100000}"/>
    <cellStyle name="Normal 76 6" xfId="4219" xr:uid="{00000000-0005-0000-0000-0000A1100000}"/>
    <cellStyle name="Normal 76 6 2" xfId="4220" xr:uid="{00000000-0005-0000-0000-0000A2100000}"/>
    <cellStyle name="Normal 76 6 2 2" xfId="4221" xr:uid="{00000000-0005-0000-0000-0000A3100000}"/>
    <cellStyle name="Normal 76 7" xfId="4222" xr:uid="{00000000-0005-0000-0000-0000A4100000}"/>
    <cellStyle name="Normal 76 7 2" xfId="4223" xr:uid="{00000000-0005-0000-0000-0000A5100000}"/>
    <cellStyle name="Normal 76_2010-06-01_Intel Server Basket_HP May 2010 (2)" xfId="4224" xr:uid="{00000000-0005-0000-0000-0000A6100000}"/>
    <cellStyle name="Normal 77" xfId="4225" xr:uid="{00000000-0005-0000-0000-0000A7100000}"/>
    <cellStyle name="Normal 77 2" xfId="4226" xr:uid="{00000000-0005-0000-0000-0000A8100000}"/>
    <cellStyle name="Normal 77 2 2" xfId="4227" xr:uid="{00000000-0005-0000-0000-0000A9100000}"/>
    <cellStyle name="Normal 78" xfId="4228" xr:uid="{00000000-0005-0000-0000-0000AA100000}"/>
    <cellStyle name="Normal 78 2" xfId="4229" xr:uid="{00000000-0005-0000-0000-0000AB100000}"/>
    <cellStyle name="Normal 78 2 2" xfId="4230" xr:uid="{00000000-0005-0000-0000-0000AC100000}"/>
    <cellStyle name="Normal 78 2 2 2" xfId="4231" xr:uid="{00000000-0005-0000-0000-0000AD100000}"/>
    <cellStyle name="Normal 78 3" xfId="4232" xr:uid="{00000000-0005-0000-0000-0000AE100000}"/>
    <cellStyle name="Normal 78 3 2" xfId="4233" xr:uid="{00000000-0005-0000-0000-0000AF100000}"/>
    <cellStyle name="Normal 78 3 2 2" xfId="4234" xr:uid="{00000000-0005-0000-0000-0000B0100000}"/>
    <cellStyle name="Normal 78 4" xfId="4235" xr:uid="{00000000-0005-0000-0000-0000B1100000}"/>
    <cellStyle name="Normal 78 4 2" xfId="4236" xr:uid="{00000000-0005-0000-0000-0000B2100000}"/>
    <cellStyle name="Normal 78 4 2 2" xfId="4237" xr:uid="{00000000-0005-0000-0000-0000B3100000}"/>
    <cellStyle name="Normal 78 5" xfId="4238" xr:uid="{00000000-0005-0000-0000-0000B4100000}"/>
    <cellStyle name="Normal 78 5 2" xfId="4239" xr:uid="{00000000-0005-0000-0000-0000B5100000}"/>
    <cellStyle name="Normal 78 5 2 2" xfId="4240" xr:uid="{00000000-0005-0000-0000-0000B6100000}"/>
    <cellStyle name="Normal 78 6" xfId="4241" xr:uid="{00000000-0005-0000-0000-0000B7100000}"/>
    <cellStyle name="Normal 78 6 2" xfId="4242" xr:uid="{00000000-0005-0000-0000-0000B8100000}"/>
    <cellStyle name="Normal 78 6 2 2" xfId="4243" xr:uid="{00000000-0005-0000-0000-0000B9100000}"/>
    <cellStyle name="Normal 78 7" xfId="4244" xr:uid="{00000000-0005-0000-0000-0000BA100000}"/>
    <cellStyle name="Normal 78 7 2" xfId="4245" xr:uid="{00000000-0005-0000-0000-0000BB100000}"/>
    <cellStyle name="Normal 78_2010-06-01_Intel Server Basket_HP May 2010 (2)" xfId="4246" xr:uid="{00000000-0005-0000-0000-0000BC100000}"/>
    <cellStyle name="Normal 79" xfId="4247" xr:uid="{00000000-0005-0000-0000-0000BD100000}"/>
    <cellStyle name="Normal 79 2" xfId="4248" xr:uid="{00000000-0005-0000-0000-0000BE100000}"/>
    <cellStyle name="Normal 79 2 2" xfId="4249" xr:uid="{00000000-0005-0000-0000-0000BF100000}"/>
    <cellStyle name="Normal 79 2 2 2" xfId="4250" xr:uid="{00000000-0005-0000-0000-0000C0100000}"/>
    <cellStyle name="Normal 79 3" xfId="4251" xr:uid="{00000000-0005-0000-0000-0000C1100000}"/>
    <cellStyle name="Normal 79 3 2" xfId="4252" xr:uid="{00000000-0005-0000-0000-0000C2100000}"/>
    <cellStyle name="Normal 79 3 2 2" xfId="4253" xr:uid="{00000000-0005-0000-0000-0000C3100000}"/>
    <cellStyle name="Normal 79 4" xfId="4254" xr:uid="{00000000-0005-0000-0000-0000C4100000}"/>
    <cellStyle name="Normal 79 4 2" xfId="4255" xr:uid="{00000000-0005-0000-0000-0000C5100000}"/>
    <cellStyle name="Normal 79 4 2 2" xfId="4256" xr:uid="{00000000-0005-0000-0000-0000C6100000}"/>
    <cellStyle name="Normal 79 5" xfId="4257" xr:uid="{00000000-0005-0000-0000-0000C7100000}"/>
    <cellStyle name="Normal 79 5 2" xfId="4258" xr:uid="{00000000-0005-0000-0000-0000C8100000}"/>
    <cellStyle name="Normal 79 5 2 2" xfId="4259" xr:uid="{00000000-0005-0000-0000-0000C9100000}"/>
    <cellStyle name="Normal 79 6" xfId="4260" xr:uid="{00000000-0005-0000-0000-0000CA100000}"/>
    <cellStyle name="Normal 79 6 2" xfId="4261" xr:uid="{00000000-0005-0000-0000-0000CB100000}"/>
    <cellStyle name="Normal 79 6 2 2" xfId="4262" xr:uid="{00000000-0005-0000-0000-0000CC100000}"/>
    <cellStyle name="Normal 79 7" xfId="4263" xr:uid="{00000000-0005-0000-0000-0000CD100000}"/>
    <cellStyle name="Normal 79 7 2" xfId="4264" xr:uid="{00000000-0005-0000-0000-0000CE100000}"/>
    <cellStyle name="Normal 79_2010-06-01_Intel Server Basket_HP May 2010 (2)" xfId="4265" xr:uid="{00000000-0005-0000-0000-0000CF100000}"/>
    <cellStyle name="Normal 8" xfId="4266" xr:uid="{00000000-0005-0000-0000-0000D0100000}"/>
    <cellStyle name="Normal 8 10" xfId="4267" xr:uid="{00000000-0005-0000-0000-0000D1100000}"/>
    <cellStyle name="Normal 8 10 2" xfId="4268" xr:uid="{00000000-0005-0000-0000-0000D2100000}"/>
    <cellStyle name="Normal 8 10 2 2" xfId="4269" xr:uid="{00000000-0005-0000-0000-0000D3100000}"/>
    <cellStyle name="Normal 8 11" xfId="4270" xr:uid="{00000000-0005-0000-0000-0000D4100000}"/>
    <cellStyle name="Normal 8 11 2" xfId="4271" xr:uid="{00000000-0005-0000-0000-0000D5100000}"/>
    <cellStyle name="Normal 8 11 2 2" xfId="4272" xr:uid="{00000000-0005-0000-0000-0000D6100000}"/>
    <cellStyle name="Normal 8 12" xfId="4273" xr:uid="{00000000-0005-0000-0000-0000D7100000}"/>
    <cellStyle name="Normal 8 12 2" xfId="4274" xr:uid="{00000000-0005-0000-0000-0000D8100000}"/>
    <cellStyle name="Normal 8 12 2 2" xfId="4275" xr:uid="{00000000-0005-0000-0000-0000D9100000}"/>
    <cellStyle name="Normal 8 13" xfId="4276" xr:uid="{00000000-0005-0000-0000-0000DA100000}"/>
    <cellStyle name="Normal 8 13 2" xfId="4277" xr:uid="{00000000-0005-0000-0000-0000DB100000}"/>
    <cellStyle name="Normal 8 13 2 2" xfId="4278" xr:uid="{00000000-0005-0000-0000-0000DC100000}"/>
    <cellStyle name="Normal 8 14" xfId="4279" xr:uid="{00000000-0005-0000-0000-0000DD100000}"/>
    <cellStyle name="Normal 8 14 2" xfId="4280" xr:uid="{00000000-0005-0000-0000-0000DE100000}"/>
    <cellStyle name="Normal 8 14 2 2" xfId="4281" xr:uid="{00000000-0005-0000-0000-0000DF100000}"/>
    <cellStyle name="Normal 8 15" xfId="4282" xr:uid="{00000000-0005-0000-0000-0000E0100000}"/>
    <cellStyle name="Normal 8 15 2" xfId="4283" xr:uid="{00000000-0005-0000-0000-0000E1100000}"/>
    <cellStyle name="Normal 8 15 2 2" xfId="4284" xr:uid="{00000000-0005-0000-0000-0000E2100000}"/>
    <cellStyle name="Normal 8 16" xfId="4285" xr:uid="{00000000-0005-0000-0000-0000E3100000}"/>
    <cellStyle name="Normal 8 16 2" xfId="4286" xr:uid="{00000000-0005-0000-0000-0000E4100000}"/>
    <cellStyle name="Normal 8 16 2 2" xfId="4287" xr:uid="{00000000-0005-0000-0000-0000E5100000}"/>
    <cellStyle name="Normal 8 17" xfId="4288" xr:uid="{00000000-0005-0000-0000-0000E6100000}"/>
    <cellStyle name="Normal 8 17 2" xfId="4289" xr:uid="{00000000-0005-0000-0000-0000E7100000}"/>
    <cellStyle name="Normal 8 17 2 2" xfId="4290" xr:uid="{00000000-0005-0000-0000-0000E8100000}"/>
    <cellStyle name="Normal 8 18" xfId="4291" xr:uid="{00000000-0005-0000-0000-0000E9100000}"/>
    <cellStyle name="Normal 8 18 2" xfId="4292" xr:uid="{00000000-0005-0000-0000-0000EA100000}"/>
    <cellStyle name="Normal 8 18 2 2" xfId="4293" xr:uid="{00000000-0005-0000-0000-0000EB100000}"/>
    <cellStyle name="Normal 8 19" xfId="4294" xr:uid="{00000000-0005-0000-0000-0000EC100000}"/>
    <cellStyle name="Normal 8 19 2" xfId="4295" xr:uid="{00000000-0005-0000-0000-0000ED100000}"/>
    <cellStyle name="Normal 8 19 2 2" xfId="4296" xr:uid="{00000000-0005-0000-0000-0000EE100000}"/>
    <cellStyle name="Normal 8 2" xfId="4297" xr:uid="{00000000-0005-0000-0000-0000EF100000}"/>
    <cellStyle name="Normal 8 2 10" xfId="4298" xr:uid="{00000000-0005-0000-0000-0000F0100000}"/>
    <cellStyle name="Normal 8 2 10 2" xfId="4299" xr:uid="{00000000-0005-0000-0000-0000F1100000}"/>
    <cellStyle name="Normal 8 2 11" xfId="4300" xr:uid="{00000000-0005-0000-0000-0000F2100000}"/>
    <cellStyle name="Normal 8 2 11 2" xfId="4301" xr:uid="{00000000-0005-0000-0000-0000F3100000}"/>
    <cellStyle name="Normal 8 2 12" xfId="4302" xr:uid="{00000000-0005-0000-0000-0000F4100000}"/>
    <cellStyle name="Normal 8 2 12 2" xfId="4303" xr:uid="{00000000-0005-0000-0000-0000F5100000}"/>
    <cellStyle name="Normal 8 2 13" xfId="4304" xr:uid="{00000000-0005-0000-0000-0000F6100000}"/>
    <cellStyle name="Normal 8 2 13 2" xfId="4305" xr:uid="{00000000-0005-0000-0000-0000F7100000}"/>
    <cellStyle name="Normal 8 2 14" xfId="4306" xr:uid="{00000000-0005-0000-0000-0000F8100000}"/>
    <cellStyle name="Normal 8 2 14 2" xfId="4307" xr:uid="{00000000-0005-0000-0000-0000F9100000}"/>
    <cellStyle name="Normal 8 2 15" xfId="4308" xr:uid="{00000000-0005-0000-0000-0000FA100000}"/>
    <cellStyle name="Normal 8 2 15 2" xfId="4309" xr:uid="{00000000-0005-0000-0000-0000FB100000}"/>
    <cellStyle name="Normal 8 2 16" xfId="4310" xr:uid="{00000000-0005-0000-0000-0000FC100000}"/>
    <cellStyle name="Normal 8 2 16 2" xfId="4311" xr:uid="{00000000-0005-0000-0000-0000FD100000}"/>
    <cellStyle name="Normal 8 2 17" xfId="4312" xr:uid="{00000000-0005-0000-0000-0000FE100000}"/>
    <cellStyle name="Normal 8 2 17 2" xfId="4313" xr:uid="{00000000-0005-0000-0000-0000FF100000}"/>
    <cellStyle name="Normal 8 2 18" xfId="4314" xr:uid="{00000000-0005-0000-0000-000000110000}"/>
    <cellStyle name="Normal 8 2 18 2" xfId="4315" xr:uid="{00000000-0005-0000-0000-000001110000}"/>
    <cellStyle name="Normal 8 2 19" xfId="4316" xr:uid="{00000000-0005-0000-0000-000002110000}"/>
    <cellStyle name="Normal 8 2 19 2" xfId="4317" xr:uid="{00000000-0005-0000-0000-000003110000}"/>
    <cellStyle name="Normal 8 2 2" xfId="4318" xr:uid="{00000000-0005-0000-0000-000004110000}"/>
    <cellStyle name="Normal 8 2 2 2" xfId="4319" xr:uid="{00000000-0005-0000-0000-000005110000}"/>
    <cellStyle name="Normal 8 2 20" xfId="4320" xr:uid="{00000000-0005-0000-0000-000006110000}"/>
    <cellStyle name="Normal 8 2 20 2" xfId="4321" xr:uid="{00000000-0005-0000-0000-000007110000}"/>
    <cellStyle name="Normal 8 2 21" xfId="4322" xr:uid="{00000000-0005-0000-0000-000008110000}"/>
    <cellStyle name="Normal 8 2 21 2" xfId="4323" xr:uid="{00000000-0005-0000-0000-000009110000}"/>
    <cellStyle name="Normal 8 2 22" xfId="4324" xr:uid="{00000000-0005-0000-0000-00000A110000}"/>
    <cellStyle name="Normal 8 2 22 2" xfId="4325" xr:uid="{00000000-0005-0000-0000-00000B110000}"/>
    <cellStyle name="Normal 8 2 23" xfId="4326" xr:uid="{00000000-0005-0000-0000-00000C110000}"/>
    <cellStyle name="Normal 8 2 23 2" xfId="4327" xr:uid="{00000000-0005-0000-0000-00000D110000}"/>
    <cellStyle name="Normal 8 2 24" xfId="4328" xr:uid="{00000000-0005-0000-0000-00000E110000}"/>
    <cellStyle name="Normal 8 2 24 2" xfId="4329" xr:uid="{00000000-0005-0000-0000-00000F110000}"/>
    <cellStyle name="Normal 8 2 25" xfId="4330" xr:uid="{00000000-0005-0000-0000-000010110000}"/>
    <cellStyle name="Normal 8 2 25 2" xfId="4331" xr:uid="{00000000-0005-0000-0000-000011110000}"/>
    <cellStyle name="Normal 8 2 26" xfId="4332" xr:uid="{00000000-0005-0000-0000-000012110000}"/>
    <cellStyle name="Normal 8 2 26 2" xfId="4333" xr:uid="{00000000-0005-0000-0000-000013110000}"/>
    <cellStyle name="Normal 8 2 27" xfId="4334" xr:uid="{00000000-0005-0000-0000-000014110000}"/>
    <cellStyle name="Normal 8 2 27 2" xfId="4335" xr:uid="{00000000-0005-0000-0000-000015110000}"/>
    <cellStyle name="Normal 8 2 28" xfId="4336" xr:uid="{00000000-0005-0000-0000-000016110000}"/>
    <cellStyle name="Normal 8 2 28 2" xfId="4337" xr:uid="{00000000-0005-0000-0000-000017110000}"/>
    <cellStyle name="Normal 8 2 29" xfId="4338" xr:uid="{00000000-0005-0000-0000-000018110000}"/>
    <cellStyle name="Normal 8 2 29 2" xfId="4339" xr:uid="{00000000-0005-0000-0000-000019110000}"/>
    <cellStyle name="Normal 8 2 3" xfId="4340" xr:uid="{00000000-0005-0000-0000-00001A110000}"/>
    <cellStyle name="Normal 8 2 3 2" xfId="4341" xr:uid="{00000000-0005-0000-0000-00001B110000}"/>
    <cellStyle name="Normal 8 2 30" xfId="4342" xr:uid="{00000000-0005-0000-0000-00001C110000}"/>
    <cellStyle name="Normal 8 2 30 2" xfId="4343" xr:uid="{00000000-0005-0000-0000-00001D110000}"/>
    <cellStyle name="Normal 8 2 31" xfId="4344" xr:uid="{00000000-0005-0000-0000-00001E110000}"/>
    <cellStyle name="Normal 8 2 31 2" xfId="4345" xr:uid="{00000000-0005-0000-0000-00001F110000}"/>
    <cellStyle name="Normal 8 2 32" xfId="4346" xr:uid="{00000000-0005-0000-0000-000020110000}"/>
    <cellStyle name="Normal 8 2 32 2" xfId="4347" xr:uid="{00000000-0005-0000-0000-000021110000}"/>
    <cellStyle name="Normal 8 2 33" xfId="4348" xr:uid="{00000000-0005-0000-0000-000022110000}"/>
    <cellStyle name="Normal 8 2 33 2" xfId="4349" xr:uid="{00000000-0005-0000-0000-000023110000}"/>
    <cellStyle name="Normal 8 2 34" xfId="4350" xr:uid="{00000000-0005-0000-0000-000024110000}"/>
    <cellStyle name="Normal 8 2 34 2" xfId="4351" xr:uid="{00000000-0005-0000-0000-000025110000}"/>
    <cellStyle name="Normal 8 2 35" xfId="4352" xr:uid="{00000000-0005-0000-0000-000026110000}"/>
    <cellStyle name="Normal 8 2 35 2" xfId="4353" xr:uid="{00000000-0005-0000-0000-000027110000}"/>
    <cellStyle name="Normal 8 2 36" xfId="4354" xr:uid="{00000000-0005-0000-0000-000028110000}"/>
    <cellStyle name="Normal 8 2 4" xfId="4355" xr:uid="{00000000-0005-0000-0000-000029110000}"/>
    <cellStyle name="Normal 8 2 4 2" xfId="4356" xr:uid="{00000000-0005-0000-0000-00002A110000}"/>
    <cellStyle name="Normal 8 2 5" xfId="4357" xr:uid="{00000000-0005-0000-0000-00002B110000}"/>
    <cellStyle name="Normal 8 2 5 2" xfId="4358" xr:uid="{00000000-0005-0000-0000-00002C110000}"/>
    <cellStyle name="Normal 8 2 6" xfId="4359" xr:uid="{00000000-0005-0000-0000-00002D110000}"/>
    <cellStyle name="Normal 8 2 6 2" xfId="4360" xr:uid="{00000000-0005-0000-0000-00002E110000}"/>
    <cellStyle name="Normal 8 2 7" xfId="4361" xr:uid="{00000000-0005-0000-0000-00002F110000}"/>
    <cellStyle name="Normal 8 2 7 2" xfId="4362" xr:uid="{00000000-0005-0000-0000-000030110000}"/>
    <cellStyle name="Normal 8 2 8" xfId="4363" xr:uid="{00000000-0005-0000-0000-000031110000}"/>
    <cellStyle name="Normal 8 2 8 2" xfId="4364" xr:uid="{00000000-0005-0000-0000-000032110000}"/>
    <cellStyle name="Normal 8 2 9" xfId="4365" xr:uid="{00000000-0005-0000-0000-000033110000}"/>
    <cellStyle name="Normal 8 2 9 2" xfId="4366" xr:uid="{00000000-0005-0000-0000-000034110000}"/>
    <cellStyle name="Normal 8 2_Configurations FSC" xfId="4367" xr:uid="{00000000-0005-0000-0000-000035110000}"/>
    <cellStyle name="Normal 8 20" xfId="4368" xr:uid="{00000000-0005-0000-0000-000036110000}"/>
    <cellStyle name="Normal 8 20 2" xfId="4369" xr:uid="{00000000-0005-0000-0000-000037110000}"/>
    <cellStyle name="Normal 8 20 2 2" xfId="4370" xr:uid="{00000000-0005-0000-0000-000038110000}"/>
    <cellStyle name="Normal 8 21" xfId="4371" xr:uid="{00000000-0005-0000-0000-000039110000}"/>
    <cellStyle name="Normal 8 21 2" xfId="4372" xr:uid="{00000000-0005-0000-0000-00003A110000}"/>
    <cellStyle name="Normal 8 21 2 2" xfId="4373" xr:uid="{00000000-0005-0000-0000-00003B110000}"/>
    <cellStyle name="Normal 8 22" xfId="4374" xr:uid="{00000000-0005-0000-0000-00003C110000}"/>
    <cellStyle name="Normal 8 22 2" xfId="4375" xr:uid="{00000000-0005-0000-0000-00003D110000}"/>
    <cellStyle name="Normal 8 22 2 2" xfId="4376" xr:uid="{00000000-0005-0000-0000-00003E110000}"/>
    <cellStyle name="Normal 8 23" xfId="4377" xr:uid="{00000000-0005-0000-0000-00003F110000}"/>
    <cellStyle name="Normal 8 23 2" xfId="4378" xr:uid="{00000000-0005-0000-0000-000040110000}"/>
    <cellStyle name="Normal 8 23 2 2" xfId="4379" xr:uid="{00000000-0005-0000-0000-000041110000}"/>
    <cellStyle name="Normal 8 24" xfId="4380" xr:uid="{00000000-0005-0000-0000-000042110000}"/>
    <cellStyle name="Normal 8 24 2" xfId="4381" xr:uid="{00000000-0005-0000-0000-000043110000}"/>
    <cellStyle name="Normal 8 24 2 2" xfId="4382" xr:uid="{00000000-0005-0000-0000-000044110000}"/>
    <cellStyle name="Normal 8 25" xfId="4383" xr:uid="{00000000-0005-0000-0000-000045110000}"/>
    <cellStyle name="Normal 8 25 2" xfId="4384" xr:uid="{00000000-0005-0000-0000-000046110000}"/>
    <cellStyle name="Normal 8 25 2 2" xfId="4385" xr:uid="{00000000-0005-0000-0000-000047110000}"/>
    <cellStyle name="Normal 8 26" xfId="4386" xr:uid="{00000000-0005-0000-0000-000048110000}"/>
    <cellStyle name="Normal 8 26 2" xfId="4387" xr:uid="{00000000-0005-0000-0000-000049110000}"/>
    <cellStyle name="Normal 8 26 2 2" xfId="4388" xr:uid="{00000000-0005-0000-0000-00004A110000}"/>
    <cellStyle name="Normal 8 27" xfId="4389" xr:uid="{00000000-0005-0000-0000-00004B110000}"/>
    <cellStyle name="Normal 8 27 2" xfId="4390" xr:uid="{00000000-0005-0000-0000-00004C110000}"/>
    <cellStyle name="Normal 8 27 2 2" xfId="4391" xr:uid="{00000000-0005-0000-0000-00004D110000}"/>
    <cellStyle name="Normal 8 28" xfId="4392" xr:uid="{00000000-0005-0000-0000-00004E110000}"/>
    <cellStyle name="Normal 8 28 2" xfId="4393" xr:uid="{00000000-0005-0000-0000-00004F110000}"/>
    <cellStyle name="Normal 8 28 2 2" xfId="4394" xr:uid="{00000000-0005-0000-0000-000050110000}"/>
    <cellStyle name="Normal 8 29" xfId="4395" xr:uid="{00000000-0005-0000-0000-000051110000}"/>
    <cellStyle name="Normal 8 29 2" xfId="4396" xr:uid="{00000000-0005-0000-0000-000052110000}"/>
    <cellStyle name="Normal 8 29 2 2" xfId="4397" xr:uid="{00000000-0005-0000-0000-000053110000}"/>
    <cellStyle name="Normal 8 3" xfId="4398" xr:uid="{00000000-0005-0000-0000-000054110000}"/>
    <cellStyle name="Normal 8 3 2" xfId="4399" xr:uid="{00000000-0005-0000-0000-000055110000}"/>
    <cellStyle name="Normal 8 30" xfId="4400" xr:uid="{00000000-0005-0000-0000-000056110000}"/>
    <cellStyle name="Normal 8 30 2" xfId="4401" xr:uid="{00000000-0005-0000-0000-000057110000}"/>
    <cellStyle name="Normal 8 30 2 2" xfId="4402" xr:uid="{00000000-0005-0000-0000-000058110000}"/>
    <cellStyle name="Normal 8 31" xfId="4403" xr:uid="{00000000-0005-0000-0000-000059110000}"/>
    <cellStyle name="Normal 8 31 2" xfId="4404" xr:uid="{00000000-0005-0000-0000-00005A110000}"/>
    <cellStyle name="Normal 8 31 2 2" xfId="4405" xr:uid="{00000000-0005-0000-0000-00005B110000}"/>
    <cellStyle name="Normal 8 32" xfId="4406" xr:uid="{00000000-0005-0000-0000-00005C110000}"/>
    <cellStyle name="Normal 8 32 2" xfId="4407" xr:uid="{00000000-0005-0000-0000-00005D110000}"/>
    <cellStyle name="Normal 8 32 2 2" xfId="4408" xr:uid="{00000000-0005-0000-0000-00005E110000}"/>
    <cellStyle name="Normal 8 33" xfId="4409" xr:uid="{00000000-0005-0000-0000-00005F110000}"/>
    <cellStyle name="Normal 8 33 2" xfId="4410" xr:uid="{00000000-0005-0000-0000-000060110000}"/>
    <cellStyle name="Normal 8 33 2 2" xfId="4411" xr:uid="{00000000-0005-0000-0000-000061110000}"/>
    <cellStyle name="Normal 8 34" xfId="4412" xr:uid="{00000000-0005-0000-0000-000062110000}"/>
    <cellStyle name="Normal 8 34 2" xfId="4413" xr:uid="{00000000-0005-0000-0000-000063110000}"/>
    <cellStyle name="Normal 8 34 2 2" xfId="4414" xr:uid="{00000000-0005-0000-0000-000064110000}"/>
    <cellStyle name="Normal 8 35" xfId="4415" xr:uid="{00000000-0005-0000-0000-000065110000}"/>
    <cellStyle name="Normal 8 35 2" xfId="4416" xr:uid="{00000000-0005-0000-0000-000066110000}"/>
    <cellStyle name="Normal 8 35 2 2" xfId="4417" xr:uid="{00000000-0005-0000-0000-000067110000}"/>
    <cellStyle name="Normal 8 36" xfId="4418" xr:uid="{00000000-0005-0000-0000-000068110000}"/>
    <cellStyle name="Normal 8 36 2" xfId="4419" xr:uid="{00000000-0005-0000-0000-000069110000}"/>
    <cellStyle name="Normal 8 36 2 2" xfId="4420" xr:uid="{00000000-0005-0000-0000-00006A110000}"/>
    <cellStyle name="Normal 8 37" xfId="4421" xr:uid="{00000000-0005-0000-0000-00006B110000}"/>
    <cellStyle name="Normal 8 37 2" xfId="4422" xr:uid="{00000000-0005-0000-0000-00006C110000}"/>
    <cellStyle name="Normal 8 37 2 2" xfId="4423" xr:uid="{00000000-0005-0000-0000-00006D110000}"/>
    <cellStyle name="Normal 8 4" xfId="4424" xr:uid="{00000000-0005-0000-0000-00006E110000}"/>
    <cellStyle name="Normal 8 4 2" xfId="4425" xr:uid="{00000000-0005-0000-0000-00006F110000}"/>
    <cellStyle name="Normal 8 5" xfId="4426" xr:uid="{00000000-0005-0000-0000-000070110000}"/>
    <cellStyle name="Normal 8 5 2" xfId="4427" xr:uid="{00000000-0005-0000-0000-000071110000}"/>
    <cellStyle name="Normal 8 5 2 2" xfId="4428" xr:uid="{00000000-0005-0000-0000-000072110000}"/>
    <cellStyle name="Normal 8 6" xfId="4429" xr:uid="{00000000-0005-0000-0000-000073110000}"/>
    <cellStyle name="Normal 8 6 2" xfId="4430" xr:uid="{00000000-0005-0000-0000-000074110000}"/>
    <cellStyle name="Normal 8 6 2 2" xfId="4431" xr:uid="{00000000-0005-0000-0000-000075110000}"/>
    <cellStyle name="Normal 8 7" xfId="4432" xr:uid="{00000000-0005-0000-0000-000076110000}"/>
    <cellStyle name="Normal 8 7 2" xfId="4433" xr:uid="{00000000-0005-0000-0000-000077110000}"/>
    <cellStyle name="Normal 8 7 2 2" xfId="4434" xr:uid="{00000000-0005-0000-0000-000078110000}"/>
    <cellStyle name="Normal 8 8" xfId="4435" xr:uid="{00000000-0005-0000-0000-000079110000}"/>
    <cellStyle name="Normal 8 8 2" xfId="4436" xr:uid="{00000000-0005-0000-0000-00007A110000}"/>
    <cellStyle name="Normal 8 8 2 2" xfId="4437" xr:uid="{00000000-0005-0000-0000-00007B110000}"/>
    <cellStyle name="Normal 8 9" xfId="4438" xr:uid="{00000000-0005-0000-0000-00007C110000}"/>
    <cellStyle name="Normal 8 9 2" xfId="4439" xr:uid="{00000000-0005-0000-0000-00007D110000}"/>
    <cellStyle name="Normal 8 9 2 2" xfId="4440" xr:uid="{00000000-0005-0000-0000-00007E110000}"/>
    <cellStyle name="Normal 8_Configurations FSC" xfId="4441" xr:uid="{00000000-0005-0000-0000-00007F110000}"/>
    <cellStyle name="Normal 80" xfId="4442" xr:uid="{00000000-0005-0000-0000-000080110000}"/>
    <cellStyle name="Normal 80 2" xfId="4443" xr:uid="{00000000-0005-0000-0000-000081110000}"/>
    <cellStyle name="Normal 80 2 2" xfId="4444" xr:uid="{00000000-0005-0000-0000-000082110000}"/>
    <cellStyle name="Normal 81" xfId="4445" xr:uid="{00000000-0005-0000-0000-000083110000}"/>
    <cellStyle name="Normal 81 2" xfId="4446" xr:uid="{00000000-0005-0000-0000-000084110000}"/>
    <cellStyle name="Normal 81 2 2" xfId="4447" xr:uid="{00000000-0005-0000-0000-000085110000}"/>
    <cellStyle name="Normal 81 2 2 2" xfId="4448" xr:uid="{00000000-0005-0000-0000-000086110000}"/>
    <cellStyle name="Normal 81 3" xfId="4449" xr:uid="{00000000-0005-0000-0000-000087110000}"/>
    <cellStyle name="Normal 81 3 2" xfId="4450" xr:uid="{00000000-0005-0000-0000-000088110000}"/>
    <cellStyle name="Normal 81 3 2 2" xfId="4451" xr:uid="{00000000-0005-0000-0000-000089110000}"/>
    <cellStyle name="Normal 81 4" xfId="4452" xr:uid="{00000000-0005-0000-0000-00008A110000}"/>
    <cellStyle name="Normal 81 4 2" xfId="4453" xr:uid="{00000000-0005-0000-0000-00008B110000}"/>
    <cellStyle name="Normal 81 4 2 2" xfId="4454" xr:uid="{00000000-0005-0000-0000-00008C110000}"/>
    <cellStyle name="Normal 81 5" xfId="4455" xr:uid="{00000000-0005-0000-0000-00008D110000}"/>
    <cellStyle name="Normal 81 5 2" xfId="4456" xr:uid="{00000000-0005-0000-0000-00008E110000}"/>
    <cellStyle name="Normal 81 5 2 2" xfId="4457" xr:uid="{00000000-0005-0000-0000-00008F110000}"/>
    <cellStyle name="Normal 81 6" xfId="4458" xr:uid="{00000000-0005-0000-0000-000090110000}"/>
    <cellStyle name="Normal 81 6 2" xfId="4459" xr:uid="{00000000-0005-0000-0000-000091110000}"/>
    <cellStyle name="Normal 81 6 2 2" xfId="4460" xr:uid="{00000000-0005-0000-0000-000092110000}"/>
    <cellStyle name="Normal 81 7" xfId="4461" xr:uid="{00000000-0005-0000-0000-000093110000}"/>
    <cellStyle name="Normal 81 7 2" xfId="4462" xr:uid="{00000000-0005-0000-0000-000094110000}"/>
    <cellStyle name="Normal 81_2010-06-01_Intel Server Basket_HP May 2010 (2)" xfId="4463" xr:uid="{00000000-0005-0000-0000-000095110000}"/>
    <cellStyle name="Normal 82" xfId="4464" xr:uid="{00000000-0005-0000-0000-000096110000}"/>
    <cellStyle name="Normal 82 2" xfId="4465" xr:uid="{00000000-0005-0000-0000-000097110000}"/>
    <cellStyle name="Normal 82 2 2" xfId="4466" xr:uid="{00000000-0005-0000-0000-000098110000}"/>
    <cellStyle name="Normal 83" xfId="4467" xr:uid="{00000000-0005-0000-0000-000099110000}"/>
    <cellStyle name="Normal 83 2" xfId="4468" xr:uid="{00000000-0005-0000-0000-00009A110000}"/>
    <cellStyle name="Normal 83 2 2" xfId="4469" xr:uid="{00000000-0005-0000-0000-00009B110000}"/>
    <cellStyle name="Normal 84" xfId="4470" xr:uid="{00000000-0005-0000-0000-00009C110000}"/>
    <cellStyle name="Normal 84 2" xfId="4471" xr:uid="{00000000-0005-0000-0000-00009D110000}"/>
    <cellStyle name="Normal 84 2 2" xfId="4472" xr:uid="{00000000-0005-0000-0000-00009E110000}"/>
    <cellStyle name="Normal 84 2 2 2" xfId="4473" xr:uid="{00000000-0005-0000-0000-00009F110000}"/>
    <cellStyle name="Normal 84 3" xfId="4474" xr:uid="{00000000-0005-0000-0000-0000A0110000}"/>
    <cellStyle name="Normal 84 3 2" xfId="4475" xr:uid="{00000000-0005-0000-0000-0000A1110000}"/>
    <cellStyle name="Normal 84 3 2 2" xfId="4476" xr:uid="{00000000-0005-0000-0000-0000A2110000}"/>
    <cellStyle name="Normal 84 4" xfId="4477" xr:uid="{00000000-0005-0000-0000-0000A3110000}"/>
    <cellStyle name="Normal 84 4 2" xfId="4478" xr:uid="{00000000-0005-0000-0000-0000A4110000}"/>
    <cellStyle name="Normal 84 4 2 2" xfId="4479" xr:uid="{00000000-0005-0000-0000-0000A5110000}"/>
    <cellStyle name="Normal 84 5" xfId="4480" xr:uid="{00000000-0005-0000-0000-0000A6110000}"/>
    <cellStyle name="Normal 84 5 2" xfId="4481" xr:uid="{00000000-0005-0000-0000-0000A7110000}"/>
    <cellStyle name="Normal 84 5 2 2" xfId="4482" xr:uid="{00000000-0005-0000-0000-0000A8110000}"/>
    <cellStyle name="Normal 84 6" xfId="4483" xr:uid="{00000000-0005-0000-0000-0000A9110000}"/>
    <cellStyle name="Normal 84 6 2" xfId="4484" xr:uid="{00000000-0005-0000-0000-0000AA110000}"/>
    <cellStyle name="Normal 84 6 2 2" xfId="4485" xr:uid="{00000000-0005-0000-0000-0000AB110000}"/>
    <cellStyle name="Normal 84 7" xfId="4486" xr:uid="{00000000-0005-0000-0000-0000AC110000}"/>
    <cellStyle name="Normal 84 7 2" xfId="4487" xr:uid="{00000000-0005-0000-0000-0000AD110000}"/>
    <cellStyle name="Normal 84_2010-06-01_Intel Server Basket_HP May 2010 (2)" xfId="4488" xr:uid="{00000000-0005-0000-0000-0000AE110000}"/>
    <cellStyle name="Normal 85" xfId="4489" xr:uid="{00000000-0005-0000-0000-0000AF110000}"/>
    <cellStyle name="Normal 85 2" xfId="4490" xr:uid="{00000000-0005-0000-0000-0000B0110000}"/>
    <cellStyle name="Normal 85 2 2" xfId="4491" xr:uid="{00000000-0005-0000-0000-0000B1110000}"/>
    <cellStyle name="Normal 85 2 2 2" xfId="4492" xr:uid="{00000000-0005-0000-0000-0000B2110000}"/>
    <cellStyle name="Normal 85 3" xfId="4493" xr:uid="{00000000-0005-0000-0000-0000B3110000}"/>
    <cellStyle name="Normal 85 3 2" xfId="4494" xr:uid="{00000000-0005-0000-0000-0000B4110000}"/>
    <cellStyle name="Normal 85 3 2 2" xfId="4495" xr:uid="{00000000-0005-0000-0000-0000B5110000}"/>
    <cellStyle name="Normal 85 4" xfId="4496" xr:uid="{00000000-0005-0000-0000-0000B6110000}"/>
    <cellStyle name="Normal 85 4 2" xfId="4497" xr:uid="{00000000-0005-0000-0000-0000B7110000}"/>
    <cellStyle name="Normal 85 4 2 2" xfId="4498" xr:uid="{00000000-0005-0000-0000-0000B8110000}"/>
    <cellStyle name="Normal 85 5" xfId="4499" xr:uid="{00000000-0005-0000-0000-0000B9110000}"/>
    <cellStyle name="Normal 85 5 2" xfId="4500" xr:uid="{00000000-0005-0000-0000-0000BA110000}"/>
    <cellStyle name="Normal 85 5 2 2" xfId="4501" xr:uid="{00000000-0005-0000-0000-0000BB110000}"/>
    <cellStyle name="Normal 85 6" xfId="4502" xr:uid="{00000000-0005-0000-0000-0000BC110000}"/>
    <cellStyle name="Normal 85 6 2" xfId="4503" xr:uid="{00000000-0005-0000-0000-0000BD110000}"/>
    <cellStyle name="Normal 85 6 2 2" xfId="4504" xr:uid="{00000000-0005-0000-0000-0000BE110000}"/>
    <cellStyle name="Normal 85 7" xfId="4505" xr:uid="{00000000-0005-0000-0000-0000BF110000}"/>
    <cellStyle name="Normal 85 7 2" xfId="4506" xr:uid="{00000000-0005-0000-0000-0000C0110000}"/>
    <cellStyle name="Normal 85_2010-06-01_Intel Server Basket_HP May 2010 (2)" xfId="4507" xr:uid="{00000000-0005-0000-0000-0000C1110000}"/>
    <cellStyle name="Normal 86" xfId="4508" xr:uid="{00000000-0005-0000-0000-0000C2110000}"/>
    <cellStyle name="Normal 86 2" xfId="4509" xr:uid="{00000000-0005-0000-0000-0000C3110000}"/>
    <cellStyle name="Normal 86 2 2" xfId="4510" xr:uid="{00000000-0005-0000-0000-0000C4110000}"/>
    <cellStyle name="Normal 87" xfId="4511" xr:uid="{00000000-0005-0000-0000-0000C5110000}"/>
    <cellStyle name="Normal 87 2" xfId="4512" xr:uid="{00000000-0005-0000-0000-0000C6110000}"/>
    <cellStyle name="Normal 87 2 2" xfId="4513" xr:uid="{00000000-0005-0000-0000-0000C7110000}"/>
    <cellStyle name="Normal 88" xfId="4514" xr:uid="{00000000-0005-0000-0000-0000C8110000}"/>
    <cellStyle name="Normal 88 2" xfId="4515" xr:uid="{00000000-0005-0000-0000-0000C9110000}"/>
    <cellStyle name="Normal 88 2 2" xfId="4516" xr:uid="{00000000-0005-0000-0000-0000CA110000}"/>
    <cellStyle name="Normal 89" xfId="4517" xr:uid="{00000000-0005-0000-0000-0000CB110000}"/>
    <cellStyle name="Normal 89 2" xfId="4518" xr:uid="{00000000-0005-0000-0000-0000CC110000}"/>
    <cellStyle name="Normal 89 2 2" xfId="4519" xr:uid="{00000000-0005-0000-0000-0000CD110000}"/>
    <cellStyle name="Normal 9" xfId="4520" xr:uid="{00000000-0005-0000-0000-0000CE110000}"/>
    <cellStyle name="Normal 9 10" xfId="4521" xr:uid="{00000000-0005-0000-0000-0000CF110000}"/>
    <cellStyle name="Normal 9 10 2" xfId="4522" xr:uid="{00000000-0005-0000-0000-0000D0110000}"/>
    <cellStyle name="Normal 9 10 2 2" xfId="4523" xr:uid="{00000000-0005-0000-0000-0000D1110000}"/>
    <cellStyle name="Normal 9 11" xfId="4524" xr:uid="{00000000-0005-0000-0000-0000D2110000}"/>
    <cellStyle name="Normal 9 11 2" xfId="4525" xr:uid="{00000000-0005-0000-0000-0000D3110000}"/>
    <cellStyle name="Normal 9 11 2 2" xfId="4526" xr:uid="{00000000-0005-0000-0000-0000D4110000}"/>
    <cellStyle name="Normal 9 12" xfId="4527" xr:uid="{00000000-0005-0000-0000-0000D5110000}"/>
    <cellStyle name="Normal 9 12 2" xfId="4528" xr:uid="{00000000-0005-0000-0000-0000D6110000}"/>
    <cellStyle name="Normal 9 12 2 2" xfId="4529" xr:uid="{00000000-0005-0000-0000-0000D7110000}"/>
    <cellStyle name="Normal 9 13" xfId="4530" xr:uid="{00000000-0005-0000-0000-0000D8110000}"/>
    <cellStyle name="Normal 9 13 2" xfId="4531" xr:uid="{00000000-0005-0000-0000-0000D9110000}"/>
    <cellStyle name="Normal 9 13 2 2" xfId="4532" xr:uid="{00000000-0005-0000-0000-0000DA110000}"/>
    <cellStyle name="Normal 9 14" xfId="4533" xr:uid="{00000000-0005-0000-0000-0000DB110000}"/>
    <cellStyle name="Normal 9 14 2" xfId="4534" xr:uid="{00000000-0005-0000-0000-0000DC110000}"/>
    <cellStyle name="Normal 9 14 2 2" xfId="4535" xr:uid="{00000000-0005-0000-0000-0000DD110000}"/>
    <cellStyle name="Normal 9 15" xfId="4536" xr:uid="{00000000-0005-0000-0000-0000DE110000}"/>
    <cellStyle name="Normal 9 15 2" xfId="4537" xr:uid="{00000000-0005-0000-0000-0000DF110000}"/>
    <cellStyle name="Normal 9 15 2 2" xfId="4538" xr:uid="{00000000-0005-0000-0000-0000E0110000}"/>
    <cellStyle name="Normal 9 16" xfId="4539" xr:uid="{00000000-0005-0000-0000-0000E1110000}"/>
    <cellStyle name="Normal 9 16 2" xfId="4540" xr:uid="{00000000-0005-0000-0000-0000E2110000}"/>
    <cellStyle name="Normal 9 16 2 2" xfId="4541" xr:uid="{00000000-0005-0000-0000-0000E3110000}"/>
    <cellStyle name="Normal 9 17" xfId="4542" xr:uid="{00000000-0005-0000-0000-0000E4110000}"/>
    <cellStyle name="Normal 9 17 2" xfId="4543" xr:uid="{00000000-0005-0000-0000-0000E5110000}"/>
    <cellStyle name="Normal 9 17 2 2" xfId="4544" xr:uid="{00000000-0005-0000-0000-0000E6110000}"/>
    <cellStyle name="Normal 9 18" xfId="4545" xr:uid="{00000000-0005-0000-0000-0000E7110000}"/>
    <cellStyle name="Normal 9 18 2" xfId="4546" xr:uid="{00000000-0005-0000-0000-0000E8110000}"/>
    <cellStyle name="Normal 9 18 2 2" xfId="4547" xr:uid="{00000000-0005-0000-0000-0000E9110000}"/>
    <cellStyle name="Normal 9 19" xfId="4548" xr:uid="{00000000-0005-0000-0000-0000EA110000}"/>
    <cellStyle name="Normal 9 19 2" xfId="4549" xr:uid="{00000000-0005-0000-0000-0000EB110000}"/>
    <cellStyle name="Normal 9 19 2 2" xfId="4550" xr:uid="{00000000-0005-0000-0000-0000EC110000}"/>
    <cellStyle name="Normal 9 2" xfId="4551" xr:uid="{00000000-0005-0000-0000-0000ED110000}"/>
    <cellStyle name="Normal 9 2 10" xfId="4552" xr:uid="{00000000-0005-0000-0000-0000EE110000}"/>
    <cellStyle name="Normal 9 2 10 2" xfId="4553" xr:uid="{00000000-0005-0000-0000-0000EF110000}"/>
    <cellStyle name="Normal 9 2 11" xfId="4554" xr:uid="{00000000-0005-0000-0000-0000F0110000}"/>
    <cellStyle name="Normal 9 2 11 2" xfId="4555" xr:uid="{00000000-0005-0000-0000-0000F1110000}"/>
    <cellStyle name="Normal 9 2 12" xfId="4556" xr:uid="{00000000-0005-0000-0000-0000F2110000}"/>
    <cellStyle name="Normal 9 2 12 2" xfId="4557" xr:uid="{00000000-0005-0000-0000-0000F3110000}"/>
    <cellStyle name="Normal 9 2 13" xfId="4558" xr:uid="{00000000-0005-0000-0000-0000F4110000}"/>
    <cellStyle name="Normal 9 2 13 2" xfId="4559" xr:uid="{00000000-0005-0000-0000-0000F5110000}"/>
    <cellStyle name="Normal 9 2 14" xfId="4560" xr:uid="{00000000-0005-0000-0000-0000F6110000}"/>
    <cellStyle name="Normal 9 2 14 2" xfId="4561" xr:uid="{00000000-0005-0000-0000-0000F7110000}"/>
    <cellStyle name="Normal 9 2 15" xfId="4562" xr:uid="{00000000-0005-0000-0000-0000F8110000}"/>
    <cellStyle name="Normal 9 2 15 2" xfId="4563" xr:uid="{00000000-0005-0000-0000-0000F9110000}"/>
    <cellStyle name="Normal 9 2 16" xfId="4564" xr:uid="{00000000-0005-0000-0000-0000FA110000}"/>
    <cellStyle name="Normal 9 2 16 2" xfId="4565" xr:uid="{00000000-0005-0000-0000-0000FB110000}"/>
    <cellStyle name="Normal 9 2 17" xfId="4566" xr:uid="{00000000-0005-0000-0000-0000FC110000}"/>
    <cellStyle name="Normal 9 2 17 2" xfId="4567" xr:uid="{00000000-0005-0000-0000-0000FD110000}"/>
    <cellStyle name="Normal 9 2 18" xfId="4568" xr:uid="{00000000-0005-0000-0000-0000FE110000}"/>
    <cellStyle name="Normal 9 2 18 2" xfId="4569" xr:uid="{00000000-0005-0000-0000-0000FF110000}"/>
    <cellStyle name="Normal 9 2 19" xfId="4570" xr:uid="{00000000-0005-0000-0000-000000120000}"/>
    <cellStyle name="Normal 9 2 19 2" xfId="4571" xr:uid="{00000000-0005-0000-0000-000001120000}"/>
    <cellStyle name="Normal 9 2 2" xfId="4572" xr:uid="{00000000-0005-0000-0000-000002120000}"/>
    <cellStyle name="Normal 9 2 2 2" xfId="4573" xr:uid="{00000000-0005-0000-0000-000003120000}"/>
    <cellStyle name="Normal 9 2 20" xfId="4574" xr:uid="{00000000-0005-0000-0000-000004120000}"/>
    <cellStyle name="Normal 9 2 20 2" xfId="4575" xr:uid="{00000000-0005-0000-0000-000005120000}"/>
    <cellStyle name="Normal 9 2 21" xfId="4576" xr:uid="{00000000-0005-0000-0000-000006120000}"/>
    <cellStyle name="Normal 9 2 21 2" xfId="4577" xr:uid="{00000000-0005-0000-0000-000007120000}"/>
    <cellStyle name="Normal 9 2 22" xfId="4578" xr:uid="{00000000-0005-0000-0000-000008120000}"/>
    <cellStyle name="Normal 9 2 22 2" xfId="4579" xr:uid="{00000000-0005-0000-0000-000009120000}"/>
    <cellStyle name="Normal 9 2 23" xfId="4580" xr:uid="{00000000-0005-0000-0000-00000A120000}"/>
    <cellStyle name="Normal 9 2 23 2" xfId="4581" xr:uid="{00000000-0005-0000-0000-00000B120000}"/>
    <cellStyle name="Normal 9 2 24" xfId="4582" xr:uid="{00000000-0005-0000-0000-00000C120000}"/>
    <cellStyle name="Normal 9 2 24 2" xfId="4583" xr:uid="{00000000-0005-0000-0000-00000D120000}"/>
    <cellStyle name="Normal 9 2 25" xfId="4584" xr:uid="{00000000-0005-0000-0000-00000E120000}"/>
    <cellStyle name="Normal 9 2 25 2" xfId="4585" xr:uid="{00000000-0005-0000-0000-00000F120000}"/>
    <cellStyle name="Normal 9 2 26" xfId="4586" xr:uid="{00000000-0005-0000-0000-000010120000}"/>
    <cellStyle name="Normal 9 2 26 2" xfId="4587" xr:uid="{00000000-0005-0000-0000-000011120000}"/>
    <cellStyle name="Normal 9 2 27" xfId="4588" xr:uid="{00000000-0005-0000-0000-000012120000}"/>
    <cellStyle name="Normal 9 2 27 2" xfId="4589" xr:uid="{00000000-0005-0000-0000-000013120000}"/>
    <cellStyle name="Normal 9 2 28" xfId="4590" xr:uid="{00000000-0005-0000-0000-000014120000}"/>
    <cellStyle name="Normal 9 2 28 2" xfId="4591" xr:uid="{00000000-0005-0000-0000-000015120000}"/>
    <cellStyle name="Normal 9 2 29" xfId="4592" xr:uid="{00000000-0005-0000-0000-000016120000}"/>
    <cellStyle name="Normal 9 2 29 2" xfId="4593" xr:uid="{00000000-0005-0000-0000-000017120000}"/>
    <cellStyle name="Normal 9 2 3" xfId="4594" xr:uid="{00000000-0005-0000-0000-000018120000}"/>
    <cellStyle name="Normal 9 2 3 2" xfId="4595" xr:uid="{00000000-0005-0000-0000-000019120000}"/>
    <cellStyle name="Normal 9 2 30" xfId="4596" xr:uid="{00000000-0005-0000-0000-00001A120000}"/>
    <cellStyle name="Normal 9 2 30 2" xfId="4597" xr:uid="{00000000-0005-0000-0000-00001B120000}"/>
    <cellStyle name="Normal 9 2 31" xfId="4598" xr:uid="{00000000-0005-0000-0000-00001C120000}"/>
    <cellStyle name="Normal 9 2 31 2" xfId="4599" xr:uid="{00000000-0005-0000-0000-00001D120000}"/>
    <cellStyle name="Normal 9 2 32" xfId="4600" xr:uid="{00000000-0005-0000-0000-00001E120000}"/>
    <cellStyle name="Normal 9 2 32 2" xfId="4601" xr:uid="{00000000-0005-0000-0000-00001F120000}"/>
    <cellStyle name="Normal 9 2 33" xfId="4602" xr:uid="{00000000-0005-0000-0000-000020120000}"/>
    <cellStyle name="Normal 9 2 33 2" xfId="4603" xr:uid="{00000000-0005-0000-0000-000021120000}"/>
    <cellStyle name="Normal 9 2 34" xfId="4604" xr:uid="{00000000-0005-0000-0000-000022120000}"/>
    <cellStyle name="Normal 9 2 34 2" xfId="4605" xr:uid="{00000000-0005-0000-0000-000023120000}"/>
    <cellStyle name="Normal 9 2 35" xfId="4606" xr:uid="{00000000-0005-0000-0000-000024120000}"/>
    <cellStyle name="Normal 9 2 35 2" xfId="4607" xr:uid="{00000000-0005-0000-0000-000025120000}"/>
    <cellStyle name="Normal 9 2 36" xfId="4608" xr:uid="{00000000-0005-0000-0000-000026120000}"/>
    <cellStyle name="Normal 9 2 4" xfId="4609" xr:uid="{00000000-0005-0000-0000-000027120000}"/>
    <cellStyle name="Normal 9 2 4 2" xfId="4610" xr:uid="{00000000-0005-0000-0000-000028120000}"/>
    <cellStyle name="Normal 9 2 5" xfId="4611" xr:uid="{00000000-0005-0000-0000-000029120000}"/>
    <cellStyle name="Normal 9 2 5 2" xfId="4612" xr:uid="{00000000-0005-0000-0000-00002A120000}"/>
    <cellStyle name="Normal 9 2 6" xfId="4613" xr:uid="{00000000-0005-0000-0000-00002B120000}"/>
    <cellStyle name="Normal 9 2 6 2" xfId="4614" xr:uid="{00000000-0005-0000-0000-00002C120000}"/>
    <cellStyle name="Normal 9 2 7" xfId="4615" xr:uid="{00000000-0005-0000-0000-00002D120000}"/>
    <cellStyle name="Normal 9 2 7 2" xfId="4616" xr:uid="{00000000-0005-0000-0000-00002E120000}"/>
    <cellStyle name="Normal 9 2 8" xfId="4617" xr:uid="{00000000-0005-0000-0000-00002F120000}"/>
    <cellStyle name="Normal 9 2 8 2" xfId="4618" xr:uid="{00000000-0005-0000-0000-000030120000}"/>
    <cellStyle name="Normal 9 2 9" xfId="4619" xr:uid="{00000000-0005-0000-0000-000031120000}"/>
    <cellStyle name="Normal 9 2 9 2" xfId="4620" xr:uid="{00000000-0005-0000-0000-000032120000}"/>
    <cellStyle name="Normal 9 2_Configurations FSC" xfId="4621" xr:uid="{00000000-0005-0000-0000-000033120000}"/>
    <cellStyle name="Normal 9 20" xfId="4622" xr:uid="{00000000-0005-0000-0000-000034120000}"/>
    <cellStyle name="Normal 9 20 2" xfId="4623" xr:uid="{00000000-0005-0000-0000-000035120000}"/>
    <cellStyle name="Normal 9 20 2 2" xfId="4624" xr:uid="{00000000-0005-0000-0000-000036120000}"/>
    <cellStyle name="Normal 9 21" xfId="4625" xr:uid="{00000000-0005-0000-0000-000037120000}"/>
    <cellStyle name="Normal 9 21 2" xfId="4626" xr:uid="{00000000-0005-0000-0000-000038120000}"/>
    <cellStyle name="Normal 9 21 2 2" xfId="4627" xr:uid="{00000000-0005-0000-0000-000039120000}"/>
    <cellStyle name="Normal 9 22" xfId="4628" xr:uid="{00000000-0005-0000-0000-00003A120000}"/>
    <cellStyle name="Normal 9 22 2" xfId="4629" xr:uid="{00000000-0005-0000-0000-00003B120000}"/>
    <cellStyle name="Normal 9 22 2 2" xfId="4630" xr:uid="{00000000-0005-0000-0000-00003C120000}"/>
    <cellStyle name="Normal 9 23" xfId="4631" xr:uid="{00000000-0005-0000-0000-00003D120000}"/>
    <cellStyle name="Normal 9 23 2" xfId="4632" xr:uid="{00000000-0005-0000-0000-00003E120000}"/>
    <cellStyle name="Normal 9 23 2 2" xfId="4633" xr:uid="{00000000-0005-0000-0000-00003F120000}"/>
    <cellStyle name="Normal 9 24" xfId="4634" xr:uid="{00000000-0005-0000-0000-000040120000}"/>
    <cellStyle name="Normal 9 24 2" xfId="4635" xr:uid="{00000000-0005-0000-0000-000041120000}"/>
    <cellStyle name="Normal 9 24 2 2" xfId="4636" xr:uid="{00000000-0005-0000-0000-000042120000}"/>
    <cellStyle name="Normal 9 25" xfId="4637" xr:uid="{00000000-0005-0000-0000-000043120000}"/>
    <cellStyle name="Normal 9 25 2" xfId="4638" xr:uid="{00000000-0005-0000-0000-000044120000}"/>
    <cellStyle name="Normal 9 25 2 2" xfId="4639" xr:uid="{00000000-0005-0000-0000-000045120000}"/>
    <cellStyle name="Normal 9 26" xfId="4640" xr:uid="{00000000-0005-0000-0000-000046120000}"/>
    <cellStyle name="Normal 9 26 2" xfId="4641" xr:uid="{00000000-0005-0000-0000-000047120000}"/>
    <cellStyle name="Normal 9 26 2 2" xfId="4642" xr:uid="{00000000-0005-0000-0000-000048120000}"/>
    <cellStyle name="Normal 9 27" xfId="4643" xr:uid="{00000000-0005-0000-0000-000049120000}"/>
    <cellStyle name="Normal 9 27 2" xfId="4644" xr:uid="{00000000-0005-0000-0000-00004A120000}"/>
    <cellStyle name="Normal 9 27 2 2" xfId="4645" xr:uid="{00000000-0005-0000-0000-00004B120000}"/>
    <cellStyle name="Normal 9 28" xfId="4646" xr:uid="{00000000-0005-0000-0000-00004C120000}"/>
    <cellStyle name="Normal 9 28 2" xfId="4647" xr:uid="{00000000-0005-0000-0000-00004D120000}"/>
    <cellStyle name="Normal 9 28 2 2" xfId="4648" xr:uid="{00000000-0005-0000-0000-00004E120000}"/>
    <cellStyle name="Normal 9 29" xfId="4649" xr:uid="{00000000-0005-0000-0000-00004F120000}"/>
    <cellStyle name="Normal 9 29 2" xfId="4650" xr:uid="{00000000-0005-0000-0000-000050120000}"/>
    <cellStyle name="Normal 9 29 2 2" xfId="4651" xr:uid="{00000000-0005-0000-0000-000051120000}"/>
    <cellStyle name="Normal 9 3" xfId="4652" xr:uid="{00000000-0005-0000-0000-000052120000}"/>
    <cellStyle name="Normal 9 3 2" xfId="4653" xr:uid="{00000000-0005-0000-0000-000053120000}"/>
    <cellStyle name="Normal 9 30" xfId="4654" xr:uid="{00000000-0005-0000-0000-000054120000}"/>
    <cellStyle name="Normal 9 30 2" xfId="4655" xr:uid="{00000000-0005-0000-0000-000055120000}"/>
    <cellStyle name="Normal 9 30 2 2" xfId="4656" xr:uid="{00000000-0005-0000-0000-000056120000}"/>
    <cellStyle name="Normal 9 31" xfId="4657" xr:uid="{00000000-0005-0000-0000-000057120000}"/>
    <cellStyle name="Normal 9 31 2" xfId="4658" xr:uid="{00000000-0005-0000-0000-000058120000}"/>
    <cellStyle name="Normal 9 31 2 2" xfId="4659" xr:uid="{00000000-0005-0000-0000-000059120000}"/>
    <cellStyle name="Normal 9 32" xfId="4660" xr:uid="{00000000-0005-0000-0000-00005A120000}"/>
    <cellStyle name="Normal 9 32 2" xfId="4661" xr:uid="{00000000-0005-0000-0000-00005B120000}"/>
    <cellStyle name="Normal 9 32 2 2" xfId="4662" xr:uid="{00000000-0005-0000-0000-00005C120000}"/>
    <cellStyle name="Normal 9 33" xfId="4663" xr:uid="{00000000-0005-0000-0000-00005D120000}"/>
    <cellStyle name="Normal 9 33 2" xfId="4664" xr:uid="{00000000-0005-0000-0000-00005E120000}"/>
    <cellStyle name="Normal 9 33 2 2" xfId="4665" xr:uid="{00000000-0005-0000-0000-00005F120000}"/>
    <cellStyle name="Normal 9 34" xfId="4666" xr:uid="{00000000-0005-0000-0000-000060120000}"/>
    <cellStyle name="Normal 9 34 2" xfId="4667" xr:uid="{00000000-0005-0000-0000-000061120000}"/>
    <cellStyle name="Normal 9 34 2 2" xfId="4668" xr:uid="{00000000-0005-0000-0000-000062120000}"/>
    <cellStyle name="Normal 9 35" xfId="4669" xr:uid="{00000000-0005-0000-0000-000063120000}"/>
    <cellStyle name="Normal 9 35 2" xfId="4670" xr:uid="{00000000-0005-0000-0000-000064120000}"/>
    <cellStyle name="Normal 9 35 2 2" xfId="4671" xr:uid="{00000000-0005-0000-0000-000065120000}"/>
    <cellStyle name="Normal 9 36" xfId="4672" xr:uid="{00000000-0005-0000-0000-000066120000}"/>
    <cellStyle name="Normal 9 36 2" xfId="4673" xr:uid="{00000000-0005-0000-0000-000067120000}"/>
    <cellStyle name="Normal 9 36 2 2" xfId="4674" xr:uid="{00000000-0005-0000-0000-000068120000}"/>
    <cellStyle name="Normal 9 37" xfId="4675" xr:uid="{00000000-0005-0000-0000-000069120000}"/>
    <cellStyle name="Normal 9 37 2" xfId="4676" xr:uid="{00000000-0005-0000-0000-00006A120000}"/>
    <cellStyle name="Normal 9 37 2 2" xfId="4677" xr:uid="{00000000-0005-0000-0000-00006B120000}"/>
    <cellStyle name="Normal 9 4" xfId="4678" xr:uid="{00000000-0005-0000-0000-00006C120000}"/>
    <cellStyle name="Normal 9 4 2" xfId="4679" xr:uid="{00000000-0005-0000-0000-00006D120000}"/>
    <cellStyle name="Normal 9 5" xfId="4680" xr:uid="{00000000-0005-0000-0000-00006E120000}"/>
    <cellStyle name="Normal 9 5 2" xfId="4681" xr:uid="{00000000-0005-0000-0000-00006F120000}"/>
    <cellStyle name="Normal 9 5 2 2" xfId="4682" xr:uid="{00000000-0005-0000-0000-000070120000}"/>
    <cellStyle name="Normal 9 6" xfId="4683" xr:uid="{00000000-0005-0000-0000-000071120000}"/>
    <cellStyle name="Normal 9 6 2" xfId="4684" xr:uid="{00000000-0005-0000-0000-000072120000}"/>
    <cellStyle name="Normal 9 6 2 2" xfId="4685" xr:uid="{00000000-0005-0000-0000-000073120000}"/>
    <cellStyle name="Normal 9 7" xfId="4686" xr:uid="{00000000-0005-0000-0000-000074120000}"/>
    <cellStyle name="Normal 9 7 2" xfId="4687" xr:uid="{00000000-0005-0000-0000-000075120000}"/>
    <cellStyle name="Normal 9 7 2 2" xfId="4688" xr:uid="{00000000-0005-0000-0000-000076120000}"/>
    <cellStyle name="Normal 9 8" xfId="4689" xr:uid="{00000000-0005-0000-0000-000077120000}"/>
    <cellStyle name="Normal 9 8 2" xfId="4690" xr:uid="{00000000-0005-0000-0000-000078120000}"/>
    <cellStyle name="Normal 9 8 2 2" xfId="4691" xr:uid="{00000000-0005-0000-0000-000079120000}"/>
    <cellStyle name="Normal 9 9" xfId="4692" xr:uid="{00000000-0005-0000-0000-00007A120000}"/>
    <cellStyle name="Normal 9 9 2" xfId="4693" xr:uid="{00000000-0005-0000-0000-00007B120000}"/>
    <cellStyle name="Normal 9 9 2 2" xfId="4694" xr:uid="{00000000-0005-0000-0000-00007C120000}"/>
    <cellStyle name="Normal 9_Configurations FSC" xfId="4695" xr:uid="{00000000-0005-0000-0000-00007D120000}"/>
    <cellStyle name="Normal 90" xfId="4696" xr:uid="{00000000-0005-0000-0000-00007E120000}"/>
    <cellStyle name="Normal 90 2" xfId="4697" xr:uid="{00000000-0005-0000-0000-00007F120000}"/>
    <cellStyle name="Normal 90 2 2" xfId="4698" xr:uid="{00000000-0005-0000-0000-000080120000}"/>
    <cellStyle name="Normal 91" xfId="4699" xr:uid="{00000000-0005-0000-0000-000081120000}"/>
    <cellStyle name="Normal 91 2" xfId="4700" xr:uid="{00000000-0005-0000-0000-000082120000}"/>
    <cellStyle name="Normal 91 2 2" xfId="4701" xr:uid="{00000000-0005-0000-0000-000083120000}"/>
    <cellStyle name="Normal 92" xfId="4702" xr:uid="{00000000-0005-0000-0000-000084120000}"/>
    <cellStyle name="Normal 92 2" xfId="4703" xr:uid="{00000000-0005-0000-0000-000085120000}"/>
    <cellStyle name="Normal 92 2 2" xfId="4704" xr:uid="{00000000-0005-0000-0000-000086120000}"/>
    <cellStyle name="Normal 93" xfId="4705" xr:uid="{00000000-0005-0000-0000-000087120000}"/>
    <cellStyle name="Normal 93 2" xfId="4706" xr:uid="{00000000-0005-0000-0000-000088120000}"/>
    <cellStyle name="Normal 93 2 2" xfId="4707" xr:uid="{00000000-0005-0000-0000-000089120000}"/>
    <cellStyle name="Normal 94" xfId="4708" xr:uid="{00000000-0005-0000-0000-00008A120000}"/>
    <cellStyle name="Normal 94 2" xfId="4709" xr:uid="{00000000-0005-0000-0000-00008B120000}"/>
    <cellStyle name="Normal 94 2 2" xfId="4710" xr:uid="{00000000-0005-0000-0000-00008C120000}"/>
    <cellStyle name="Normal 95" xfId="4711" xr:uid="{00000000-0005-0000-0000-00008D120000}"/>
    <cellStyle name="Normal 95 2" xfId="4712" xr:uid="{00000000-0005-0000-0000-00008E120000}"/>
    <cellStyle name="Normal 95 2 2" xfId="4713" xr:uid="{00000000-0005-0000-0000-00008F120000}"/>
    <cellStyle name="Normal 96" xfId="4714" xr:uid="{00000000-0005-0000-0000-000090120000}"/>
    <cellStyle name="Normal 96 2" xfId="4715" xr:uid="{00000000-0005-0000-0000-000091120000}"/>
    <cellStyle name="Normal 96 2 2" xfId="4716" xr:uid="{00000000-0005-0000-0000-000092120000}"/>
    <cellStyle name="Normal 97" xfId="4717" xr:uid="{00000000-0005-0000-0000-000093120000}"/>
    <cellStyle name="Normal 97 2" xfId="4718" xr:uid="{00000000-0005-0000-0000-000094120000}"/>
    <cellStyle name="Normal 97 2 2" xfId="4719" xr:uid="{00000000-0005-0000-0000-000095120000}"/>
    <cellStyle name="Normal 98" xfId="4720" xr:uid="{00000000-0005-0000-0000-000096120000}"/>
    <cellStyle name="Normal 98 2" xfId="4721" xr:uid="{00000000-0005-0000-0000-000097120000}"/>
    <cellStyle name="Normal 98 2 2" xfId="4722" xr:uid="{00000000-0005-0000-0000-000098120000}"/>
    <cellStyle name="Normal 99" xfId="4723" xr:uid="{00000000-0005-0000-0000-000099120000}"/>
    <cellStyle name="Normal 99 2" xfId="4724" xr:uid="{00000000-0005-0000-0000-00009A120000}"/>
    <cellStyle name="Normal 99 2 2" xfId="4725" xr:uid="{00000000-0005-0000-0000-00009B120000}"/>
    <cellStyle name="Normal_upsell sheet" xfId="5079" xr:uid="{04598F8C-0EEB-48C1-BFC9-E325C916FCE6}"/>
    <cellStyle name="Normalny 2" xfId="4911" xr:uid="{00000000-0005-0000-0000-00009C120000}"/>
    <cellStyle name="Notiz" xfId="4726" xr:uid="{00000000-0005-0000-0000-00009D120000}"/>
    <cellStyle name="Notiz 2" xfId="4727" xr:uid="{00000000-0005-0000-0000-00009E120000}"/>
    <cellStyle name="Notiz 2 2" xfId="5016" xr:uid="{00000000-0005-0000-0000-00009E120000}"/>
    <cellStyle name="Notiz 2 3" xfId="4959" xr:uid="{00000000-0005-0000-0000-00009E120000}"/>
    <cellStyle name="Notiz 3" xfId="5015" xr:uid="{00000000-0005-0000-0000-00009D120000}"/>
    <cellStyle name="Notiz 4" xfId="4960" xr:uid="{00000000-0005-0000-0000-00009D120000}"/>
    <cellStyle name="Percent 10" xfId="4728" xr:uid="{00000000-0005-0000-0000-00009F120000}"/>
    <cellStyle name="Percent 11" xfId="4729" xr:uid="{00000000-0005-0000-0000-0000A0120000}"/>
    <cellStyle name="Percent 12" xfId="4730" xr:uid="{00000000-0005-0000-0000-0000A1120000}"/>
    <cellStyle name="Percent 13" xfId="4731" xr:uid="{00000000-0005-0000-0000-0000A2120000}"/>
    <cellStyle name="Percent 14" xfId="4732" xr:uid="{00000000-0005-0000-0000-0000A3120000}"/>
    <cellStyle name="Percent 15" xfId="4733" xr:uid="{00000000-0005-0000-0000-0000A4120000}"/>
    <cellStyle name="Percent 16" xfId="4734" xr:uid="{00000000-0005-0000-0000-0000A5120000}"/>
    <cellStyle name="Percent 17" xfId="4735" xr:uid="{00000000-0005-0000-0000-0000A6120000}"/>
    <cellStyle name="Percent 18" xfId="4736" xr:uid="{00000000-0005-0000-0000-0000A7120000}"/>
    <cellStyle name="Percent 19" xfId="4737" xr:uid="{00000000-0005-0000-0000-0000A8120000}"/>
    <cellStyle name="Percent 2" xfId="4738" xr:uid="{00000000-0005-0000-0000-0000A9120000}"/>
    <cellStyle name="Percent 2 2" xfId="4912" xr:uid="{00000000-0005-0000-0000-0000AA120000}"/>
    <cellStyle name="Percent 2 2 2" xfId="4913" xr:uid="{00000000-0005-0000-0000-0000AB120000}"/>
    <cellStyle name="Percent 2 3" xfId="4914" xr:uid="{00000000-0005-0000-0000-0000AC120000}"/>
    <cellStyle name="Percent 2 4" xfId="4915" xr:uid="{00000000-0005-0000-0000-0000AD120000}"/>
    <cellStyle name="Percent 2 5" xfId="4920" xr:uid="{00000000-0005-0000-0000-0000AE120000}"/>
    <cellStyle name="Percent 2 5 2" xfId="5066" xr:uid="{00000000-0005-0000-0000-0000AE120000}"/>
    <cellStyle name="Percent 20" xfId="4739" xr:uid="{00000000-0005-0000-0000-0000AF120000}"/>
    <cellStyle name="Percent 21" xfId="4740" xr:uid="{00000000-0005-0000-0000-0000B0120000}"/>
    <cellStyle name="Percent 22" xfId="4741" xr:uid="{00000000-0005-0000-0000-0000B1120000}"/>
    <cellStyle name="Percent 23" xfId="4742" xr:uid="{00000000-0005-0000-0000-0000B2120000}"/>
    <cellStyle name="Percent 24" xfId="4743" xr:uid="{00000000-0005-0000-0000-0000B3120000}"/>
    <cellStyle name="Percent 25" xfId="4744" xr:uid="{00000000-0005-0000-0000-0000B4120000}"/>
    <cellStyle name="Percent 25 2" xfId="5080" xr:uid="{6E46B59D-3B6B-4AF9-A4C8-C7784769CBC8}"/>
    <cellStyle name="Percent 26" xfId="4745" xr:uid="{00000000-0005-0000-0000-0000B5120000}"/>
    <cellStyle name="Percent 27" xfId="4746" xr:uid="{00000000-0005-0000-0000-0000B6120000}"/>
    <cellStyle name="Percent 28" xfId="4747" xr:uid="{00000000-0005-0000-0000-0000B7120000}"/>
    <cellStyle name="Percent 29" xfId="4748" xr:uid="{00000000-0005-0000-0000-0000B8120000}"/>
    <cellStyle name="Percent 3" xfId="4749" xr:uid="{00000000-0005-0000-0000-0000B9120000}"/>
    <cellStyle name="Percent 30" xfId="4883" xr:uid="{00000000-0005-0000-0000-0000BA120000}"/>
    <cellStyle name="Percent 30 2" xfId="5055" xr:uid="{00000000-0005-0000-0000-0000BA120000}"/>
    <cellStyle name="Percent 4" xfId="4750" xr:uid="{00000000-0005-0000-0000-0000BB120000}"/>
    <cellStyle name="Percent 5" xfId="4751" xr:uid="{00000000-0005-0000-0000-0000BC120000}"/>
    <cellStyle name="Percent 6" xfId="4752" xr:uid="{00000000-0005-0000-0000-0000BD120000}"/>
    <cellStyle name="Percent 7" xfId="4753" xr:uid="{00000000-0005-0000-0000-0000BE120000}"/>
    <cellStyle name="Percent 8" xfId="4754" xr:uid="{00000000-0005-0000-0000-0000BF120000}"/>
    <cellStyle name="Percent 9" xfId="4755" xr:uid="{00000000-0005-0000-0000-0000C0120000}"/>
    <cellStyle name="PortumCurrency" xfId="4756" xr:uid="{00000000-0005-0000-0000-0000C1120000}"/>
    <cellStyle name="PortumCurrency 2" xfId="4757" xr:uid="{00000000-0005-0000-0000-0000C2120000}"/>
    <cellStyle name="PortumCurrency_Maintenance" xfId="4758" xr:uid="{00000000-0005-0000-0000-0000C3120000}"/>
    <cellStyle name="PortumDate" xfId="4759" xr:uid="{00000000-0005-0000-0000-0000C4120000}"/>
    <cellStyle name="PortumDefault" xfId="4760" xr:uid="{00000000-0005-0000-0000-0000C5120000}"/>
    <cellStyle name="PortumDesc" xfId="4761" xr:uid="{00000000-0005-0000-0000-0000C6120000}"/>
    <cellStyle name="PortumDuration" xfId="4762" xr:uid="{00000000-0005-0000-0000-0000C7120000}"/>
    <cellStyle name="PortumDurationSec" xfId="4763" xr:uid="{00000000-0005-0000-0000-0000C8120000}"/>
    <cellStyle name="PortumEnabled" xfId="4764" xr:uid="{00000000-0005-0000-0000-0000C9120000}"/>
    <cellStyle name="PortumImportant" xfId="4765" xr:uid="{00000000-0005-0000-0000-0000CA120000}"/>
    <cellStyle name="PortumMultiLineText" xfId="4766" xr:uid="{00000000-0005-0000-0000-0000CB120000}"/>
    <cellStyle name="PortumNormal" xfId="4767" xr:uid="{00000000-0005-0000-0000-0000CC120000}"/>
    <cellStyle name="PortumNumber" xfId="4768" xr:uid="{00000000-0005-0000-0000-0000CD120000}"/>
    <cellStyle name="PortumSmall" xfId="4769" xr:uid="{00000000-0005-0000-0000-0000CE120000}"/>
    <cellStyle name="PortumYN" xfId="4770" xr:uid="{00000000-0005-0000-0000-0000CF120000}"/>
    <cellStyle name="Pourcentage 2" xfId="4771" xr:uid="{00000000-0005-0000-0000-0000D0120000}"/>
    <cellStyle name="Price_LifeBook 600 series" xfId="4772" xr:uid="{00000000-0005-0000-0000-0000D1120000}"/>
    <cellStyle name="Pricelist" xfId="4773" xr:uid="{00000000-0005-0000-0000-0000D2120000}"/>
    <cellStyle name="Pricelist 2" xfId="4774" xr:uid="{00000000-0005-0000-0000-0000D3120000}"/>
    <cellStyle name="Prozent 2" xfId="4775" xr:uid="{00000000-0005-0000-0000-0000D4120000}"/>
    <cellStyle name="Prozent 2 2" xfId="4776" xr:uid="{00000000-0005-0000-0000-0000D5120000}"/>
    <cellStyle name="Prozent 2 3" xfId="4777" xr:uid="{00000000-0005-0000-0000-0000D6120000}"/>
    <cellStyle name="Prozent 2 4" xfId="4778" xr:uid="{00000000-0005-0000-0000-0000D7120000}"/>
    <cellStyle name="Prozent 3" xfId="4779" xr:uid="{00000000-0005-0000-0000-0000D8120000}"/>
    <cellStyle name="SAPBEXaggData" xfId="4780" xr:uid="{00000000-0005-0000-0000-0000D9120000}"/>
    <cellStyle name="SAPBEXaggData 2" xfId="5017" xr:uid="{00000000-0005-0000-0000-0000D9120000}"/>
    <cellStyle name="SAPBEXaggData 3" xfId="4958" xr:uid="{00000000-0005-0000-0000-0000D9120000}"/>
    <cellStyle name="SAPBEXaggDataEmph" xfId="4781" xr:uid="{00000000-0005-0000-0000-0000DA120000}"/>
    <cellStyle name="SAPBEXaggDataEmph 2" xfId="5018" xr:uid="{00000000-0005-0000-0000-0000DA120000}"/>
    <cellStyle name="SAPBEXaggDataEmph 3" xfId="4957" xr:uid="{00000000-0005-0000-0000-0000DA120000}"/>
    <cellStyle name="SAPBEXaggItem" xfId="4782" xr:uid="{00000000-0005-0000-0000-0000DB120000}"/>
    <cellStyle name="SAPBEXaggItem 2" xfId="5019" xr:uid="{00000000-0005-0000-0000-0000DB120000}"/>
    <cellStyle name="SAPBEXaggItem 3" xfId="4956" xr:uid="{00000000-0005-0000-0000-0000DB120000}"/>
    <cellStyle name="SAPBEXaggItemX" xfId="4783" xr:uid="{00000000-0005-0000-0000-0000DC120000}"/>
    <cellStyle name="SAPBEXaggItemX 2" xfId="5020" xr:uid="{00000000-0005-0000-0000-0000DC120000}"/>
    <cellStyle name="SAPBEXaggItemX 3" xfId="4955" xr:uid="{00000000-0005-0000-0000-0000DC120000}"/>
    <cellStyle name="SAPBEXchaText" xfId="4784" xr:uid="{00000000-0005-0000-0000-0000DD120000}"/>
    <cellStyle name="SAPBEXchaText 2" xfId="5021" xr:uid="{00000000-0005-0000-0000-0000DD120000}"/>
    <cellStyle name="SAPBEXchaText 3" xfId="4954" xr:uid="{00000000-0005-0000-0000-0000DD120000}"/>
    <cellStyle name="SAPBEXexcBad7" xfId="4785" xr:uid="{00000000-0005-0000-0000-0000DE120000}"/>
    <cellStyle name="SAPBEXexcBad7 2" xfId="5022" xr:uid="{00000000-0005-0000-0000-0000DE120000}"/>
    <cellStyle name="SAPBEXexcBad7 3" xfId="4953" xr:uid="{00000000-0005-0000-0000-0000DE120000}"/>
    <cellStyle name="SAPBEXexcBad8" xfId="4786" xr:uid="{00000000-0005-0000-0000-0000DF120000}"/>
    <cellStyle name="SAPBEXexcBad8 2" xfId="5023" xr:uid="{00000000-0005-0000-0000-0000DF120000}"/>
    <cellStyle name="SAPBEXexcBad8 3" xfId="4952" xr:uid="{00000000-0005-0000-0000-0000DF120000}"/>
    <cellStyle name="SAPBEXexcBad9" xfId="4787" xr:uid="{00000000-0005-0000-0000-0000E0120000}"/>
    <cellStyle name="SAPBEXexcBad9 2" xfId="5024" xr:uid="{00000000-0005-0000-0000-0000E0120000}"/>
    <cellStyle name="SAPBEXexcBad9 3" xfId="4951" xr:uid="{00000000-0005-0000-0000-0000E0120000}"/>
    <cellStyle name="SAPBEXexcCritical4" xfId="4788" xr:uid="{00000000-0005-0000-0000-0000E1120000}"/>
    <cellStyle name="SAPBEXexcCritical4 2" xfId="5025" xr:uid="{00000000-0005-0000-0000-0000E1120000}"/>
    <cellStyle name="SAPBEXexcCritical4 3" xfId="4950" xr:uid="{00000000-0005-0000-0000-0000E1120000}"/>
    <cellStyle name="SAPBEXexcCritical5" xfId="4789" xr:uid="{00000000-0005-0000-0000-0000E2120000}"/>
    <cellStyle name="SAPBEXexcCritical5 2" xfId="5026" xr:uid="{00000000-0005-0000-0000-0000E2120000}"/>
    <cellStyle name="SAPBEXexcCritical5 3" xfId="4949" xr:uid="{00000000-0005-0000-0000-0000E2120000}"/>
    <cellStyle name="SAPBEXexcCritical6" xfId="4790" xr:uid="{00000000-0005-0000-0000-0000E3120000}"/>
    <cellStyle name="SAPBEXexcCritical6 2" xfId="5027" xr:uid="{00000000-0005-0000-0000-0000E3120000}"/>
    <cellStyle name="SAPBEXexcCritical6 3" xfId="4948" xr:uid="{00000000-0005-0000-0000-0000E3120000}"/>
    <cellStyle name="SAPBEXexcGood1" xfId="4791" xr:uid="{00000000-0005-0000-0000-0000E4120000}"/>
    <cellStyle name="SAPBEXexcGood1 2" xfId="5028" xr:uid="{00000000-0005-0000-0000-0000E4120000}"/>
    <cellStyle name="SAPBEXexcGood1 3" xfId="4947" xr:uid="{00000000-0005-0000-0000-0000E4120000}"/>
    <cellStyle name="SAPBEXexcGood2" xfId="4792" xr:uid="{00000000-0005-0000-0000-0000E5120000}"/>
    <cellStyle name="SAPBEXexcGood2 2" xfId="5029" xr:uid="{00000000-0005-0000-0000-0000E5120000}"/>
    <cellStyle name="SAPBEXexcGood2 3" xfId="4946" xr:uid="{00000000-0005-0000-0000-0000E5120000}"/>
    <cellStyle name="SAPBEXexcGood3" xfId="4793" xr:uid="{00000000-0005-0000-0000-0000E6120000}"/>
    <cellStyle name="SAPBEXexcGood3 2" xfId="5030" xr:uid="{00000000-0005-0000-0000-0000E6120000}"/>
    <cellStyle name="SAPBEXexcGood3 3" xfId="4945" xr:uid="{00000000-0005-0000-0000-0000E6120000}"/>
    <cellStyle name="SAPBEXfilterDrill" xfId="4794" xr:uid="{00000000-0005-0000-0000-0000E7120000}"/>
    <cellStyle name="SAPBEXfilterDrill 2" xfId="5031" xr:uid="{00000000-0005-0000-0000-0000E7120000}"/>
    <cellStyle name="SAPBEXfilterDrill 3" xfId="4944" xr:uid="{00000000-0005-0000-0000-0000E7120000}"/>
    <cellStyle name="SAPBEXfilterItem" xfId="4795" xr:uid="{00000000-0005-0000-0000-0000E8120000}"/>
    <cellStyle name="SAPBEXfilterItem 2" xfId="4943" xr:uid="{00000000-0005-0000-0000-0000E8120000}"/>
    <cellStyle name="SAPBEXfilterText" xfId="4796" xr:uid="{00000000-0005-0000-0000-0000E9120000}"/>
    <cellStyle name="SAPBEXformats" xfId="4797" xr:uid="{00000000-0005-0000-0000-0000EA120000}"/>
    <cellStyle name="SAPBEXformats 2" xfId="5032" xr:uid="{00000000-0005-0000-0000-0000EA120000}"/>
    <cellStyle name="SAPBEXformats 3" xfId="4942" xr:uid="{00000000-0005-0000-0000-0000EA120000}"/>
    <cellStyle name="SAPBEXheaderItem" xfId="4798" xr:uid="{00000000-0005-0000-0000-0000EB120000}"/>
    <cellStyle name="SAPBEXheaderItem 2" xfId="5033" xr:uid="{00000000-0005-0000-0000-0000EB120000}"/>
    <cellStyle name="SAPBEXheaderItem 3" xfId="4941" xr:uid="{00000000-0005-0000-0000-0000EB120000}"/>
    <cellStyle name="SAPBEXheaderText" xfId="4799" xr:uid="{00000000-0005-0000-0000-0000EC120000}"/>
    <cellStyle name="SAPBEXheaderText 2" xfId="5034" xr:uid="{00000000-0005-0000-0000-0000EC120000}"/>
    <cellStyle name="SAPBEXheaderText 3" xfId="4940" xr:uid="{00000000-0005-0000-0000-0000EC120000}"/>
    <cellStyle name="SAPBEXHLevel0" xfId="4800" xr:uid="{00000000-0005-0000-0000-0000ED120000}"/>
    <cellStyle name="SAPBEXHLevel0 2" xfId="5035" xr:uid="{00000000-0005-0000-0000-0000ED120000}"/>
    <cellStyle name="SAPBEXHLevel0 3" xfId="4939" xr:uid="{00000000-0005-0000-0000-0000ED120000}"/>
    <cellStyle name="SAPBEXHLevel0X" xfId="4801" xr:uid="{00000000-0005-0000-0000-0000EE120000}"/>
    <cellStyle name="SAPBEXHLevel0X 2" xfId="5036" xr:uid="{00000000-0005-0000-0000-0000EE120000}"/>
    <cellStyle name="SAPBEXHLevel0X 3" xfId="4938" xr:uid="{00000000-0005-0000-0000-0000EE120000}"/>
    <cellStyle name="SAPBEXHLevel1" xfId="4802" xr:uid="{00000000-0005-0000-0000-0000EF120000}"/>
    <cellStyle name="SAPBEXHLevel1 2" xfId="5037" xr:uid="{00000000-0005-0000-0000-0000EF120000}"/>
    <cellStyle name="SAPBEXHLevel1 3" xfId="4937" xr:uid="{00000000-0005-0000-0000-0000EF120000}"/>
    <cellStyle name="SAPBEXHLevel1X" xfId="4803" xr:uid="{00000000-0005-0000-0000-0000F0120000}"/>
    <cellStyle name="SAPBEXHLevel1X 2" xfId="5038" xr:uid="{00000000-0005-0000-0000-0000F0120000}"/>
    <cellStyle name="SAPBEXHLevel1X 3" xfId="4936" xr:uid="{00000000-0005-0000-0000-0000F0120000}"/>
    <cellStyle name="SAPBEXHLevel2" xfId="4804" xr:uid="{00000000-0005-0000-0000-0000F1120000}"/>
    <cellStyle name="SAPBEXHLevel2 2" xfId="5039" xr:uid="{00000000-0005-0000-0000-0000F1120000}"/>
    <cellStyle name="SAPBEXHLevel2 3" xfId="5058" xr:uid="{00000000-0005-0000-0000-0000F1120000}"/>
    <cellStyle name="SAPBEXHLevel2X" xfId="4805" xr:uid="{00000000-0005-0000-0000-0000F2120000}"/>
    <cellStyle name="SAPBEXHLevel2X 2" xfId="5040" xr:uid="{00000000-0005-0000-0000-0000F2120000}"/>
    <cellStyle name="SAPBEXHLevel2X 3" xfId="5057" xr:uid="{00000000-0005-0000-0000-0000F2120000}"/>
    <cellStyle name="SAPBEXHLevel3" xfId="4806" xr:uid="{00000000-0005-0000-0000-0000F3120000}"/>
    <cellStyle name="SAPBEXHLevel3 2" xfId="5041" xr:uid="{00000000-0005-0000-0000-0000F3120000}"/>
    <cellStyle name="SAPBEXHLevel3 3" xfId="5056" xr:uid="{00000000-0005-0000-0000-0000F3120000}"/>
    <cellStyle name="SAPBEXHLevel3X" xfId="4807" xr:uid="{00000000-0005-0000-0000-0000F4120000}"/>
    <cellStyle name="SAPBEXHLevel3X 2" xfId="5042" xr:uid="{00000000-0005-0000-0000-0000F4120000}"/>
    <cellStyle name="SAPBEXHLevel3X 3" xfId="4935" xr:uid="{00000000-0005-0000-0000-0000F4120000}"/>
    <cellStyle name="SAPBEXresData" xfId="4808" xr:uid="{00000000-0005-0000-0000-0000F5120000}"/>
    <cellStyle name="SAPBEXresData 2" xfId="5043" xr:uid="{00000000-0005-0000-0000-0000F5120000}"/>
    <cellStyle name="SAPBEXresData 3" xfId="4934" xr:uid="{00000000-0005-0000-0000-0000F5120000}"/>
    <cellStyle name="SAPBEXresDataEmph" xfId="4809" xr:uid="{00000000-0005-0000-0000-0000F6120000}"/>
    <cellStyle name="SAPBEXresDataEmph 2" xfId="5044" xr:uid="{00000000-0005-0000-0000-0000F6120000}"/>
    <cellStyle name="SAPBEXresDataEmph 3" xfId="4933" xr:uid="{00000000-0005-0000-0000-0000F6120000}"/>
    <cellStyle name="SAPBEXresItem" xfId="4810" xr:uid="{00000000-0005-0000-0000-0000F7120000}"/>
    <cellStyle name="SAPBEXresItem 2" xfId="5045" xr:uid="{00000000-0005-0000-0000-0000F7120000}"/>
    <cellStyle name="SAPBEXresItem 3" xfId="4932" xr:uid="{00000000-0005-0000-0000-0000F7120000}"/>
    <cellStyle name="SAPBEXresItemX" xfId="4811" xr:uid="{00000000-0005-0000-0000-0000F8120000}"/>
    <cellStyle name="SAPBEXresItemX 2" xfId="5046" xr:uid="{00000000-0005-0000-0000-0000F8120000}"/>
    <cellStyle name="SAPBEXresItemX 3" xfId="4931" xr:uid="{00000000-0005-0000-0000-0000F8120000}"/>
    <cellStyle name="SAPBEXstdData" xfId="4812" xr:uid="{00000000-0005-0000-0000-0000F9120000}"/>
    <cellStyle name="SAPBEXstdData 2" xfId="5047" xr:uid="{00000000-0005-0000-0000-0000F9120000}"/>
    <cellStyle name="SAPBEXstdData 3" xfId="4930" xr:uid="{00000000-0005-0000-0000-0000F9120000}"/>
    <cellStyle name="SAPBEXstdDataEmph" xfId="4813" xr:uid="{00000000-0005-0000-0000-0000FA120000}"/>
    <cellStyle name="SAPBEXstdDataEmph 2" xfId="5048" xr:uid="{00000000-0005-0000-0000-0000FA120000}"/>
    <cellStyle name="SAPBEXstdDataEmph 3" xfId="4929" xr:uid="{00000000-0005-0000-0000-0000FA120000}"/>
    <cellStyle name="SAPBEXstdItem" xfId="4814" xr:uid="{00000000-0005-0000-0000-0000FB120000}"/>
    <cellStyle name="SAPBEXstdItem 2" xfId="4815" xr:uid="{00000000-0005-0000-0000-0000FC120000}"/>
    <cellStyle name="SAPBEXstdItem 2 2" xfId="5050" xr:uid="{00000000-0005-0000-0000-0000FC120000}"/>
    <cellStyle name="SAPBEXstdItem 2 3" xfId="5071" xr:uid="{00000000-0005-0000-0000-0000FC120000}"/>
    <cellStyle name="SAPBEXstdItem 3" xfId="5049" xr:uid="{00000000-0005-0000-0000-0000FB120000}"/>
    <cellStyle name="SAPBEXstdItem 4" xfId="4928" xr:uid="{00000000-0005-0000-0000-0000FB120000}"/>
    <cellStyle name="SAPBEXstdItemX" xfId="4816" xr:uid="{00000000-0005-0000-0000-0000FD120000}"/>
    <cellStyle name="SAPBEXstdItemX 2" xfId="5051" xr:uid="{00000000-0005-0000-0000-0000FD120000}"/>
    <cellStyle name="SAPBEXstdItemX 3" xfId="5072" xr:uid="{00000000-0005-0000-0000-0000FD120000}"/>
    <cellStyle name="SAPBEXtitle" xfId="4817" xr:uid="{00000000-0005-0000-0000-0000FE120000}"/>
    <cellStyle name="SAPBEXundefined" xfId="4818" xr:uid="{00000000-0005-0000-0000-0000FF120000}"/>
    <cellStyle name="SAPBEXundefined 2" xfId="5052" xr:uid="{00000000-0005-0000-0000-0000FF120000}"/>
    <cellStyle name="SAPBEXundefined 3" xfId="5073" xr:uid="{00000000-0005-0000-0000-0000FF120000}"/>
    <cellStyle name="Schlecht" xfId="4819" xr:uid="{00000000-0005-0000-0000-000000130000}"/>
    <cellStyle name="Schlecht 2" xfId="4820" xr:uid="{00000000-0005-0000-0000-000001130000}"/>
    <cellStyle name="SectionHeader" xfId="13" xr:uid="{00000000-0005-0000-0000-000002130000}"/>
    <cellStyle name="SectionHeader 2" xfId="4821" xr:uid="{00000000-0005-0000-0000-000003130000}"/>
    <cellStyle name="SectionHeader 2 2" xfId="4822" xr:uid="{00000000-0005-0000-0000-000004130000}"/>
    <cellStyle name="SectionHeader 3" xfId="4823" xr:uid="{00000000-0005-0000-0000-000005130000}"/>
    <cellStyle name="SectionHeader 4" xfId="4824" xr:uid="{00000000-0005-0000-0000-000006130000}"/>
    <cellStyle name="Standard 1" xfId="4825" xr:uid="{00000000-0005-0000-0000-000007130000}"/>
    <cellStyle name="Standard 2" xfId="4826" xr:uid="{00000000-0005-0000-0000-000008130000}"/>
    <cellStyle name="Standard 2 2" xfId="4827" xr:uid="{00000000-0005-0000-0000-000009130000}"/>
    <cellStyle name="Standard 2 2 2" xfId="4828" xr:uid="{00000000-0005-0000-0000-00000A130000}"/>
    <cellStyle name="Standard 2 3" xfId="4829" xr:uid="{00000000-0005-0000-0000-00000B130000}"/>
    <cellStyle name="Standard 2_Hardware prices" xfId="4830" xr:uid="{00000000-0005-0000-0000-00000C130000}"/>
    <cellStyle name="Standard 3" xfId="4831" xr:uid="{00000000-0005-0000-0000-00000D130000}"/>
    <cellStyle name="Standard 3 2" xfId="4832" xr:uid="{00000000-0005-0000-0000-00000E130000}"/>
    <cellStyle name="Standard 3 2 2" xfId="4833" xr:uid="{00000000-0005-0000-0000-00000F130000}"/>
    <cellStyle name="Standard 3 3" xfId="4834" xr:uid="{00000000-0005-0000-0000-000010130000}"/>
    <cellStyle name="Standard 4" xfId="4835" xr:uid="{00000000-0005-0000-0000-000011130000}"/>
    <cellStyle name="Standard 4 2" xfId="4836" xr:uid="{00000000-0005-0000-0000-000012130000}"/>
    <cellStyle name="Standard 4 3" xfId="4837" xr:uid="{00000000-0005-0000-0000-000013130000}"/>
    <cellStyle name="Standard 4_Maintenance" xfId="4838" xr:uid="{00000000-0005-0000-0000-000014130000}"/>
    <cellStyle name="Standard 5" xfId="4839" xr:uid="{00000000-0005-0000-0000-000015130000}"/>
    <cellStyle name="Standard 5 2" xfId="4840" xr:uid="{00000000-0005-0000-0000-000016130000}"/>
    <cellStyle name="Standard 5 3" xfId="4841" xr:uid="{00000000-0005-0000-0000-000017130000}"/>
    <cellStyle name="Standard 5 4" xfId="4842" xr:uid="{00000000-0005-0000-0000-000018130000}"/>
    <cellStyle name="Standard 6" xfId="4843" xr:uid="{00000000-0005-0000-0000-000019130000}"/>
    <cellStyle name="Standard 6 2" xfId="4844" xr:uid="{00000000-0005-0000-0000-00001A130000}"/>
    <cellStyle name="Standard 7" xfId="4845" xr:uid="{00000000-0005-0000-0000-00001B130000}"/>
    <cellStyle name="Standard 7 2" xfId="4846" xr:uid="{00000000-0005-0000-0000-00001C130000}"/>
    <cellStyle name="Standard 8" xfId="4847" xr:uid="{00000000-0005-0000-0000-00001D130000}"/>
    <cellStyle name="Standard_Business Criteria Unix Renewal_21.12.2006" xfId="4848" xr:uid="{00000000-0005-0000-0000-00001E130000}"/>
    <cellStyle name="Standard_Country_List_final 2_Datafly XI_ 18112009_RfQ_Intel Server Basket_DELL_final" xfId="4849" xr:uid="{00000000-0005-0000-0000-00001F130000}"/>
    <cellStyle name="Standard_Country_List_final_2009-08-27_Intel Server HW Basket" xfId="15" xr:uid="{00000000-0005-0000-0000-000020130000}"/>
    <cellStyle name="Stil 1" xfId="4850" xr:uid="{00000000-0005-0000-0000-000021130000}"/>
    <cellStyle name="Stil 1 2" xfId="4851" xr:uid="{00000000-0005-0000-0000-000022130000}"/>
    <cellStyle name="Stil 1 3" xfId="4852" xr:uid="{00000000-0005-0000-0000-000023130000}"/>
    <cellStyle name="Stil 1_Maintenance" xfId="4853" xr:uid="{00000000-0005-0000-0000-000024130000}"/>
    <cellStyle name="Style 1" xfId="4854" xr:uid="{00000000-0005-0000-0000-000025130000}"/>
    <cellStyle name="Style 1 2" xfId="4855" xr:uid="{00000000-0005-0000-0000-000026130000}"/>
    <cellStyle name="Überschrift" xfId="4856" xr:uid="{00000000-0005-0000-0000-000027130000}"/>
    <cellStyle name="Überschrift 1" xfId="4857" xr:uid="{00000000-0005-0000-0000-000028130000}"/>
    <cellStyle name="Überschrift 1 2" xfId="4858" xr:uid="{00000000-0005-0000-0000-000029130000}"/>
    <cellStyle name="Überschrift 2" xfId="4859" xr:uid="{00000000-0005-0000-0000-00002A130000}"/>
    <cellStyle name="Überschrift 2 2" xfId="4860" xr:uid="{00000000-0005-0000-0000-00002B130000}"/>
    <cellStyle name="Überschrift 3" xfId="4861" xr:uid="{00000000-0005-0000-0000-00002C130000}"/>
    <cellStyle name="Überschrift 3 2" xfId="4862" xr:uid="{00000000-0005-0000-0000-00002D130000}"/>
    <cellStyle name="Überschrift 4" xfId="4863" xr:uid="{00000000-0005-0000-0000-00002E130000}"/>
    <cellStyle name="Überschrift 4 2" xfId="4864" xr:uid="{00000000-0005-0000-0000-00002F130000}"/>
    <cellStyle name="Überschrift 5" xfId="4865" xr:uid="{00000000-0005-0000-0000-000030130000}"/>
    <cellStyle name="Verknüpfte Zelle" xfId="4866" xr:uid="{00000000-0005-0000-0000-000031130000}"/>
    <cellStyle name="Verknüpfte Zelle 2" xfId="4867" xr:uid="{00000000-0005-0000-0000-000032130000}"/>
    <cellStyle name="Währung 2" xfId="4868" xr:uid="{00000000-0005-0000-0000-000033130000}"/>
    <cellStyle name="Währung 2 2" xfId="4869" xr:uid="{00000000-0005-0000-0000-000034130000}"/>
    <cellStyle name="Währung 2 3" xfId="4870" xr:uid="{00000000-0005-0000-0000-000035130000}"/>
    <cellStyle name="Währung 2 4" xfId="4871" xr:uid="{00000000-0005-0000-0000-000036130000}"/>
    <cellStyle name="Währung 2 5" xfId="4872" xr:uid="{00000000-0005-0000-0000-000037130000}"/>
    <cellStyle name="Währung 3" xfId="4873" xr:uid="{00000000-0005-0000-0000-000038130000}"/>
    <cellStyle name="Warnender Text" xfId="4874" xr:uid="{00000000-0005-0000-0000-000039130000}"/>
    <cellStyle name="Warnender Text 2" xfId="4875" xr:uid="{00000000-0005-0000-0000-00003A130000}"/>
    <cellStyle name="Warnender Text 3" xfId="4876" xr:uid="{00000000-0005-0000-0000-00003B130000}"/>
    <cellStyle name="Zelle überprüfen" xfId="4877" xr:uid="{00000000-0005-0000-0000-00003C130000}"/>
    <cellStyle name="Zelle überprüfen 2" xfId="4878" xr:uid="{00000000-0005-0000-0000-00003D13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5.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1962527</xdr:colOff>
      <xdr:row>2</xdr:row>
      <xdr:rowOff>60325</xdr:rowOff>
    </xdr:to>
    <xdr:pic>
      <xdr:nvPicPr>
        <xdr:cNvPr id="2" name="Picture 1">
          <a:extLst>
            <a:ext uri="{FF2B5EF4-FFF2-40B4-BE49-F238E27FC236}">
              <a16:creationId xmlns:a16="http://schemas.microsoft.com/office/drawing/2014/main" id="{1EE77DB5-A646-4AAF-AF9F-589EEB9A4A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62527"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11</xdr:col>
      <xdr:colOff>324576</xdr:colOff>
      <xdr:row>30</xdr:row>
      <xdr:rowOff>638986</xdr:rowOff>
    </xdr:to>
    <xdr:pic>
      <xdr:nvPicPr>
        <xdr:cNvPr id="3" name="Picture 2">
          <a:extLst>
            <a:ext uri="{FF2B5EF4-FFF2-40B4-BE49-F238E27FC236}">
              <a16:creationId xmlns:a16="http://schemas.microsoft.com/office/drawing/2014/main" id="{6279C448-3D8D-7AC9-1E43-8922760BC710}"/>
            </a:ext>
          </a:extLst>
        </xdr:cNvPr>
        <xdr:cNvPicPr>
          <a:picLocks noChangeAspect="1"/>
        </xdr:cNvPicPr>
      </xdr:nvPicPr>
      <xdr:blipFill>
        <a:blip xmlns:r="http://schemas.openxmlformats.org/officeDocument/2006/relationships" r:embed="rId1"/>
        <a:stretch>
          <a:fillRect/>
        </a:stretch>
      </xdr:blipFill>
      <xdr:spPr>
        <a:xfrm>
          <a:off x="9953625" y="333375"/>
          <a:ext cx="5201376" cy="58110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Startup" Target="WORKING/WORK3.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Startup" Target="WORKING/SPCL_PR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knowledge.myatos.net/Program%20Files/pc_conf/offer.xlt"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ntranet.dell.com/TEMP/ITT_September_Customer%209-13-00%20-%20Exter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intranet.dell.com/PUBSHARE/DATABASE/FY98Q2/80256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intranet.dell.com/WINDOWS/TEMP/Int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DataSheet"/>
      <sheetName val="Code"/>
      <sheetName val="Special Pricing Request"/>
      <sheetName val="Config"/>
      <sheetName val="Dialog1"/>
      <sheetName val="Config (2)"/>
      <sheetName val="Config (3)"/>
      <sheetName val="Config (4)"/>
      <sheetName val="Config (5)"/>
      <sheetName val="Config (6)"/>
      <sheetName val="Config (7)"/>
      <sheetName val="Config (8)"/>
      <sheetName val="Config (9)"/>
      <sheetName val="Config (10)"/>
      <sheetName val="Config (11)"/>
      <sheetName val="Summary Analysis"/>
      <sheetName val="WORK3"/>
      <sheetName val="Controls"/>
    </sheetNames>
    <definedNames>
      <definedName name="Change_Costing_From"/>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pbook Code"/>
      <sheetName val="Add_Config"/>
      <sheetName val="Alter_Config"/>
      <sheetName val="Append_Detail"/>
      <sheetName val="Alter_SA"/>
      <sheetName val="Close_Code"/>
      <sheetName val="Commit"/>
      <sheetName val="Cost_Data"/>
      <sheetName val="Dropbox"/>
      <sheetName val="Double_Code"/>
      <sheetName val="DropDowns"/>
      <sheetName val="Entry_Config"/>
      <sheetName val="Entry_SA"/>
      <sheetName val="Errors"/>
      <sheetName val="Formulas"/>
      <sheetName val="Open_Code"/>
      <sheetName val="Options"/>
      <sheetName val="Patches"/>
      <sheetName val="Request_Data"/>
      <sheetName val="Request_Util"/>
      <sheetName val="SA_Utilities"/>
      <sheetName val="SPRF_Util"/>
      <sheetName val="Test_Code"/>
      <sheetName val="Utilities"/>
      <sheetName val="Ver_Update"/>
      <sheetName val="Notes"/>
      <sheetName val="SPCL_PRC"/>
    </sheetNames>
    <definedNames>
      <definedName name="Compet_DropBox_O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ts"/>
      <sheetName val="Graphics"/>
      <sheetName val="Overview"/>
      <sheetName val="Partition"/>
      <sheetName val="Warnings"/>
      <sheetName val="Slots"/>
      <sheetName val="Cableplan"/>
      <sheetName val="Planning"/>
      <sheetName val="Cableplan2"/>
      <sheetName val="House network"/>
      <sheetName val="MirrorMode"/>
      <sheetName val="Modul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ktop Standards"/>
      <sheetName val="Workstation Standards"/>
      <sheetName val="Notebook Standards"/>
    </sheetNames>
    <sheetDataSet>
      <sheetData sheetId="0"/>
      <sheetData sheetId="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cial Pricing Request"/>
      <sheetName val="Config (11)"/>
      <sheetName val="Config (12)"/>
      <sheetName val="Config (13)"/>
      <sheetName val="Config (14)"/>
      <sheetName val="Config (15)"/>
      <sheetName val="Summary Analysis"/>
      <sheetName val="Options"/>
      <sheetName val="Forward Pricing"/>
      <sheetName val="Qry_Analysts"/>
      <sheetName val="Qry_Approver"/>
      <sheetName val="Qry_Competitor"/>
      <sheetName val="Code"/>
      <sheetName val="Config"/>
      <sheetName val="Dialog1"/>
      <sheetName val="DataSheet"/>
      <sheetName val="Refresh_Data"/>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Pipeline"/>
      <sheetName val="Products"/>
      <sheetName val="Svcs &amp; Global"/>
      <sheetName val="Geo &amp; IBU"/>
      <sheetName val="Exec Engage"/>
      <sheetName val="Resources"/>
      <sheetName val="P&amp;L Input"/>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b:/r/sites/100000409/DCH%20Techartifacts/GLOBAL%20COMPUTE%20OPERATIONAL%20POLICIES/GLOBAL%20COMPUTE%20OPERATIONAL%20POLICIES.pdf?csf=1&amp;web=1&amp;e=Nwqccq" TargetMode="External"/><Relationship Id="rId1" Type="http://schemas.openxmlformats.org/officeDocument/2006/relationships/hyperlink" Target="../../../../../../../../../:f:/r/sites/190003894/it/IT/Hardware/Server/g.%20Price%20List%20%26%20Catalogues/X86%20basket%202025?csf=1&amp;web=1&amp;e=ncA54d"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http://www1.ap.dell.com/content/topics/topic.aspx/ap/topics/contacts/en/sadm_contacts?c=ap&amp;l=en&amp;s=gen" TargetMode="External"/><Relationship Id="rId3" Type="http://schemas.openxmlformats.org/officeDocument/2006/relationships/hyperlink" Target="http://www1.euro.dell.com/content/topics/topic.aspx/emea/contact/edb/index?c=eu&amp;l=en&amp;s=bsd" TargetMode="External"/><Relationship Id="rId7" Type="http://schemas.openxmlformats.org/officeDocument/2006/relationships/hyperlink" Target="http://www1.ap.dell.com/content/topics/topic.aspx/ap/topics/contacts/en/sadm_contacts?c=ap&amp;l=en&amp;s=gen" TargetMode="External"/><Relationship Id="rId2" Type="http://schemas.openxmlformats.org/officeDocument/2006/relationships/hyperlink" Target="http://www1.euro.dell.com/content/topics/topic.aspx/emea/contact/edb/index?c=eu&amp;l=en&amp;s=bsd" TargetMode="External"/><Relationship Id="rId1" Type="http://schemas.openxmlformats.org/officeDocument/2006/relationships/hyperlink" Target="http://www1.euro.dell.com/content/topics/topic.aspx/emea/contact/edb/index?c=eu&amp;l=en&amp;s=bsd" TargetMode="External"/><Relationship Id="rId6" Type="http://schemas.openxmlformats.org/officeDocument/2006/relationships/hyperlink" Target="http://www1.ap.dell.com/content/topics/topic.aspx/ap/topics/contacts/en/sadm_contacts?c=ap&amp;l=en&amp;s=gen" TargetMode="External"/><Relationship Id="rId5" Type="http://schemas.openxmlformats.org/officeDocument/2006/relationships/hyperlink" Target="http://www1.ap.dell.com/content/topics/topic.aspx/ap/topics/contacts/en/sadm_contacts?c=ap&amp;l=en&amp;s=gen" TargetMode="External"/><Relationship Id="rId4" Type="http://schemas.openxmlformats.org/officeDocument/2006/relationships/hyperlink" Target="http://www1.ap.dell.com/content/topics/topic.aspx/ap/topics/contacts/en/sadm_contacts?c=ap&amp;l=en&amp;s=gen" TargetMode="External"/><Relationship Id="rId9"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AS57"/>
  <sheetViews>
    <sheetView showGridLines="0" zoomScale="90" zoomScaleNormal="90" workbookViewId="0">
      <selection activeCell="B1" sqref="B1"/>
    </sheetView>
  </sheetViews>
  <sheetFormatPr defaultColWidth="0" defaultRowHeight="12.75" zeroHeight="1"/>
  <cols>
    <col min="1" max="1" width="3" style="1" customWidth="1"/>
    <col min="2" max="2" width="31.28515625" style="2" customWidth="1"/>
    <col min="3" max="3" width="100.7109375" style="3" customWidth="1"/>
    <col min="4" max="4" width="11.5703125" style="1" customWidth="1"/>
    <col min="5" max="45" width="0" style="1" hidden="1" customWidth="1"/>
    <col min="46" max="16384" width="11.5703125" style="1" hidden="1"/>
  </cols>
  <sheetData>
    <row r="1" spans="1:45" ht="14.25" customHeight="1" thickBot="1">
      <c r="B1" s="2" t="s">
        <v>740</v>
      </c>
    </row>
    <row r="2" spans="1:45" s="4" customFormat="1" ht="27.75" customHeight="1" thickBot="1">
      <c r="B2" s="182" t="s">
        <v>0</v>
      </c>
      <c r="C2" s="183"/>
    </row>
    <row r="3" spans="1:45" s="9" customFormat="1" ht="27.75" customHeight="1">
      <c r="A3" s="5"/>
      <c r="B3" s="180" t="s">
        <v>1</v>
      </c>
      <c r="C3" s="181"/>
      <c r="D3" s="6"/>
      <c r="E3" s="6"/>
      <c r="F3" s="6"/>
      <c r="G3" s="6"/>
      <c r="H3" s="6"/>
      <c r="I3" s="6"/>
      <c r="J3" s="6"/>
      <c r="K3" s="7"/>
      <c r="L3" s="7"/>
      <c r="M3" s="7"/>
      <c r="N3" s="7"/>
      <c r="O3" s="7"/>
      <c r="P3" s="7"/>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row>
    <row r="4" spans="1:45" s="10" customFormat="1" ht="21.2" customHeight="1">
      <c r="B4" s="12" t="s">
        <v>2</v>
      </c>
      <c r="C4" s="62" t="s">
        <v>3</v>
      </c>
    </row>
    <row r="5" spans="1:45" s="10" customFormat="1" ht="21.2" customHeight="1">
      <c r="B5" s="12" t="s">
        <v>4</v>
      </c>
      <c r="C5" s="62" t="s">
        <v>5</v>
      </c>
    </row>
    <row r="6" spans="1:45" s="10" customFormat="1" ht="21.2" customHeight="1">
      <c r="B6" s="12" t="s">
        <v>6</v>
      </c>
      <c r="C6" s="62" t="s">
        <v>7</v>
      </c>
    </row>
    <row r="7" spans="1:45" s="10" customFormat="1" ht="21.2" customHeight="1">
      <c r="B7" s="12" t="s">
        <v>8</v>
      </c>
      <c r="C7" s="62" t="s">
        <v>9</v>
      </c>
    </row>
    <row r="8" spans="1:45" s="10" customFormat="1" ht="21.2" customHeight="1">
      <c r="B8" s="12" t="s">
        <v>10</v>
      </c>
      <c r="C8" s="63" t="s">
        <v>11</v>
      </c>
    </row>
    <row r="9" spans="1:45" s="10" customFormat="1" ht="21.2" customHeight="1">
      <c r="B9" s="64" t="s">
        <v>12</v>
      </c>
      <c r="C9" s="63">
        <v>45748</v>
      </c>
    </row>
    <row r="10" spans="1:45" s="10" customFormat="1" ht="21.2" customHeight="1">
      <c r="B10" s="64" t="s">
        <v>13</v>
      </c>
      <c r="C10" s="65">
        <v>1</v>
      </c>
    </row>
    <row r="11" spans="1:45" s="10" customFormat="1" ht="30" customHeight="1" thickBot="1">
      <c r="B11" s="64" t="s">
        <v>14</v>
      </c>
      <c r="C11" s="66" t="s">
        <v>15</v>
      </c>
    </row>
    <row r="12" spans="1:45" s="10" customFormat="1" ht="21.2" customHeight="1">
      <c r="B12" s="55" t="s">
        <v>16</v>
      </c>
      <c r="C12" s="186" t="s">
        <v>17</v>
      </c>
    </row>
    <row r="13" spans="1:45" s="10" customFormat="1" ht="21.2" customHeight="1">
      <c r="B13" s="13"/>
      <c r="C13" s="187"/>
    </row>
    <row r="14" spans="1:45" s="10" customFormat="1" ht="9" customHeight="1">
      <c r="B14" s="57"/>
      <c r="C14" s="187"/>
    </row>
    <row r="15" spans="1:45" s="10" customFormat="1" ht="21.2" customHeight="1">
      <c r="B15" s="56" t="s">
        <v>18</v>
      </c>
      <c r="C15" s="188" t="s">
        <v>19</v>
      </c>
    </row>
    <row r="16" spans="1:45" s="10" customFormat="1" ht="21.2" customHeight="1">
      <c r="B16" s="57"/>
      <c r="C16" s="189"/>
    </row>
    <row r="17" spans="2:4" s="10" customFormat="1" ht="21.2" customHeight="1">
      <c r="B17" s="13" t="s">
        <v>20</v>
      </c>
      <c r="C17" s="190" t="s">
        <v>21</v>
      </c>
    </row>
    <row r="18" spans="2:4" s="10" customFormat="1" ht="36.75" customHeight="1">
      <c r="B18" s="57"/>
      <c r="C18" s="191"/>
    </row>
    <row r="19" spans="2:4" s="10" customFormat="1" ht="21.2" customHeight="1">
      <c r="B19" s="67" t="s">
        <v>22</v>
      </c>
      <c r="C19" s="194" t="s">
        <v>23</v>
      </c>
    </row>
    <row r="20" spans="2:4" s="10" customFormat="1" ht="18" customHeight="1">
      <c r="B20" s="13"/>
      <c r="C20" s="195"/>
    </row>
    <row r="21" spans="2:4" s="10" customFormat="1" ht="15.75" customHeight="1">
      <c r="B21" s="57"/>
      <c r="C21" s="196"/>
    </row>
    <row r="22" spans="2:4" s="10" customFormat="1" ht="25.15" customHeight="1">
      <c r="B22" s="56" t="s">
        <v>24</v>
      </c>
      <c r="C22" s="197" t="s">
        <v>25</v>
      </c>
    </row>
    <row r="23" spans="2:4" s="10" customFormat="1" ht="25.15" customHeight="1">
      <c r="B23" s="56"/>
      <c r="C23" s="195"/>
    </row>
    <row r="24" spans="2:4" s="10" customFormat="1" ht="25.15" customHeight="1">
      <c r="B24" s="58"/>
      <c r="C24" s="196"/>
      <c r="D24" s="11"/>
    </row>
    <row r="25" spans="2:4" s="10" customFormat="1" ht="21.2" customHeight="1">
      <c r="B25" s="60" t="s">
        <v>26</v>
      </c>
      <c r="C25" s="192" t="s">
        <v>27</v>
      </c>
      <c r="D25" s="11"/>
    </row>
    <row r="26" spans="2:4" s="10" customFormat="1" ht="75.75" customHeight="1" thickBot="1">
      <c r="B26" s="68"/>
      <c r="C26" s="193"/>
    </row>
    <row r="27" spans="2:4" ht="13.5" thickBot="1"/>
    <row r="28" spans="2:4" ht="23.25" customHeight="1" thickBot="1">
      <c r="B28" s="184" t="s">
        <v>28</v>
      </c>
      <c r="C28" s="185"/>
    </row>
    <row r="29" spans="2:4">
      <c r="C29" s="2"/>
    </row>
    <row r="30" spans="2:4" ht="12.75" hidden="1" customHeight="1">
      <c r="C30" s="2"/>
    </row>
    <row r="31" spans="2:4" ht="12.75" hidden="1" customHeight="1">
      <c r="C31" s="2"/>
    </row>
    <row r="32" spans="2:4" ht="12.75" hidden="1" customHeight="1">
      <c r="C32" s="2"/>
    </row>
    <row r="33"/>
    <row r="34"/>
    <row r="35"/>
    <row r="36"/>
    <row r="37"/>
    <row r="38"/>
    <row r="39"/>
    <row r="40"/>
    <row r="41"/>
    <row r="42"/>
    <row r="43"/>
    <row r="44"/>
    <row r="45"/>
    <row r="46"/>
    <row r="47"/>
    <row r="48"/>
    <row r="49"/>
    <row r="50"/>
    <row r="51"/>
    <row r="52"/>
    <row r="53"/>
    <row r="54"/>
    <row r="55"/>
    <row r="56"/>
    <row r="57"/>
  </sheetData>
  <protectedRanges>
    <protectedRange password="CCC2" sqref="B13:C13 B8:B11 B4:B6 B7:C7" name="Bereich1"/>
    <protectedRange password="CCC2" sqref="C4:C6" name="Bereich1_3"/>
    <protectedRange password="CCC2" sqref="B15" name="Bereich1_4"/>
    <protectedRange password="CCC2" sqref="B12:C12" name="Bereich1_5"/>
    <protectedRange password="CCC2" sqref="B14:C14" name="Bereich1_6"/>
    <protectedRange password="CCC2" sqref="C15 B26 B16:B17" name="Bereich1_7"/>
    <protectedRange password="CCC2" sqref="C16:C24 C25:C26 B18:B25" name="Bereich1_8"/>
    <protectedRange password="CCC2" sqref="C8:C10" name="Bereich1_9"/>
    <protectedRange password="CCC2" sqref="C11" name="Bereich1_2_1"/>
  </protectedRanges>
  <mergeCells count="9">
    <mergeCell ref="B3:C3"/>
    <mergeCell ref="B2:C2"/>
    <mergeCell ref="B28:C28"/>
    <mergeCell ref="C12:C14"/>
    <mergeCell ref="C15:C16"/>
    <mergeCell ref="C17:C18"/>
    <mergeCell ref="C25:C26"/>
    <mergeCell ref="C19:C21"/>
    <mergeCell ref="C22:C24"/>
  </mergeCells>
  <hyperlinks>
    <hyperlink ref="B3:C3" r:id="rId1" display="Latest version of the Procurement basket can be found here &gt;&gt;click&lt;&lt;" xr:uid="{00000000-0004-0000-0000-000000000000}"/>
    <hyperlink ref="C25:C26" r:id="rId2" display="https://atos365.sharepoint.com/:b:/r/sites/100000409/DCH Techartifacts/GLOBAL COMPUTE OPERATIONAL POLICIES/GLOBAL COMPUTE OPERATIONAL POLICIES.pdf?csf=1&amp;web=1&amp;e=Nwqccq" xr:uid="{3DD76B8C-8B5E-4B84-AB85-AFF84A49C726}"/>
  </hyperlinks>
  <printOptions horizontalCentered="1"/>
  <pageMargins left="0.78740157480314965" right="0.78740157480314965" top="0.98425196850393704" bottom="0.98425196850393704" header="0.51181102362204722" footer="0.51181102362204722"/>
  <pageSetup paperSize="9" scale="96"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3ABE5-FEF9-4B14-A7F4-53FC2264C9EF}">
  <sheetPr>
    <tabColor rgb="FF00B050"/>
  </sheetPr>
  <dimension ref="A1:S266"/>
  <sheetViews>
    <sheetView tabSelected="1" zoomScaleNormal="100" workbookViewId="0">
      <selection activeCell="C1" sqref="C1:T1048576"/>
    </sheetView>
  </sheetViews>
  <sheetFormatPr defaultColWidth="8.85546875" defaultRowHeight="15"/>
  <cols>
    <col min="1" max="1" width="38.5703125" style="61" bestFit="1" customWidth="1"/>
    <col min="2" max="2" width="31.42578125" style="61" customWidth="1"/>
    <col min="3" max="3" width="77" style="61" bestFit="1" customWidth="1"/>
    <col min="4" max="4" width="16" style="61" customWidth="1"/>
    <col min="5" max="5" width="19.5703125" style="61" customWidth="1"/>
    <col min="6" max="6" width="19.28515625" style="61" customWidth="1"/>
    <col min="7" max="7" width="21.140625" style="61" customWidth="1"/>
    <col min="8" max="8" width="20.5703125" style="61" customWidth="1"/>
    <col min="9" max="9" width="22.7109375" style="61" customWidth="1"/>
    <col min="10" max="10" width="22.140625" style="61" customWidth="1"/>
    <col min="11" max="11" width="1" style="61" customWidth="1"/>
    <col min="12" max="12" width="12.7109375" style="61" customWidth="1"/>
    <col min="13" max="13" width="15.28515625" style="61" customWidth="1"/>
    <col min="14" max="14" width="12.7109375" style="61" customWidth="1"/>
    <col min="15" max="15" width="15.140625" style="82" customWidth="1"/>
    <col min="16" max="16" width="12.7109375" style="61" customWidth="1"/>
    <col min="17" max="17" width="17.140625" style="61" customWidth="1"/>
    <col min="18" max="18" width="14.28515625" style="61" customWidth="1"/>
    <col min="19" max="19" width="16.7109375" style="61" customWidth="1"/>
    <col min="20" max="16384" width="8.85546875" style="61"/>
  </cols>
  <sheetData>
    <row r="1" spans="1:19" s="59" customFormat="1" ht="21">
      <c r="C1" s="254"/>
      <c r="D1" s="103"/>
      <c r="E1" s="79" t="s">
        <v>29</v>
      </c>
      <c r="F1" s="80" t="s">
        <v>30</v>
      </c>
    </row>
    <row r="2" spans="1:19" s="59" customFormat="1" ht="21.75" thickBot="1">
      <c r="C2" s="254"/>
      <c r="D2" s="103"/>
      <c r="E2" s="136" t="s">
        <v>31</v>
      </c>
      <c r="F2" s="83">
        <v>1.1000000000000001</v>
      </c>
    </row>
    <row r="3" spans="1:19" ht="22.9" customHeight="1" thickBot="1">
      <c r="L3" s="257" t="s">
        <v>32</v>
      </c>
      <c r="M3" s="258"/>
      <c r="O3" s="61"/>
    </row>
    <row r="4" spans="1:19" ht="19.5" thickBot="1">
      <c r="A4" s="76" t="s">
        <v>33</v>
      </c>
      <c r="B4" s="77" t="s">
        <v>34</v>
      </c>
      <c r="C4" s="81" t="s">
        <v>35</v>
      </c>
      <c r="D4" s="117" t="s">
        <v>36</v>
      </c>
      <c r="E4" s="135" t="s">
        <v>37</v>
      </c>
      <c r="F4" s="104" t="s">
        <v>38</v>
      </c>
      <c r="G4" s="115" t="s">
        <v>39</v>
      </c>
      <c r="H4" s="116" t="s">
        <v>40</v>
      </c>
      <c r="I4" s="116" t="s">
        <v>41</v>
      </c>
      <c r="J4" s="114" t="s">
        <v>42</v>
      </c>
      <c r="K4" s="93"/>
      <c r="L4" s="219" t="s">
        <v>43</v>
      </c>
      <c r="M4" s="206"/>
      <c r="N4" s="206" t="s">
        <v>44</v>
      </c>
      <c r="O4" s="206"/>
      <c r="P4" s="206" t="s">
        <v>45</v>
      </c>
      <c r="Q4" s="206"/>
      <c r="R4" s="206" t="s">
        <v>46</v>
      </c>
      <c r="S4" s="207"/>
    </row>
    <row r="5" spans="1:19" ht="15" customHeight="1">
      <c r="A5" s="239" t="s">
        <v>47</v>
      </c>
      <c r="B5" s="89" t="s">
        <v>48</v>
      </c>
      <c r="C5" s="106" t="s">
        <v>49</v>
      </c>
      <c r="D5" s="253">
        <v>7280.7888297600002</v>
      </c>
      <c r="E5" s="255">
        <v>3292</v>
      </c>
      <c r="F5" s="256">
        <f>E5/$F$2</f>
        <v>2992.7272727272725</v>
      </c>
      <c r="G5" s="249">
        <v>3526.23</v>
      </c>
      <c r="H5" s="247">
        <v>3716.18</v>
      </c>
      <c r="I5" s="249">
        <v>3882.27</v>
      </c>
      <c r="J5" s="251">
        <v>4357.04</v>
      </c>
      <c r="K5" s="90"/>
      <c r="L5" s="223">
        <f>G5-E5</f>
        <v>234.23000000000002</v>
      </c>
      <c r="M5" s="215">
        <f>L5/$F$2</f>
        <v>212.93636363636364</v>
      </c>
      <c r="N5" s="211">
        <f>H5-E5</f>
        <v>424.17999999999984</v>
      </c>
      <c r="O5" s="217">
        <f>N5/$F$2</f>
        <v>385.61818181818165</v>
      </c>
      <c r="P5" s="211">
        <f>I5-E5</f>
        <v>590.27</v>
      </c>
      <c r="Q5" s="215">
        <f>P5/$F$2</f>
        <v>536.60909090909081</v>
      </c>
      <c r="R5" s="211">
        <f>J5-E5</f>
        <v>1065.04</v>
      </c>
      <c r="S5" s="198">
        <f>R5/$F$2</f>
        <v>968.21818181818173</v>
      </c>
    </row>
    <row r="6" spans="1:19" ht="15" customHeight="1">
      <c r="A6" s="234"/>
      <c r="B6" s="84" t="s">
        <v>50</v>
      </c>
      <c r="C6" s="107" t="s">
        <v>51</v>
      </c>
      <c r="D6" s="240"/>
      <c r="E6" s="229"/>
      <c r="F6" s="231"/>
      <c r="G6" s="250"/>
      <c r="H6" s="248"/>
      <c r="I6" s="250"/>
      <c r="J6" s="252"/>
      <c r="K6" s="91"/>
      <c r="L6" s="221"/>
      <c r="M6" s="204"/>
      <c r="N6" s="209"/>
      <c r="O6" s="213"/>
      <c r="P6" s="209"/>
      <c r="Q6" s="204"/>
      <c r="R6" s="209"/>
      <c r="S6" s="199"/>
    </row>
    <row r="7" spans="1:19" ht="15" customHeight="1">
      <c r="A7" s="234"/>
      <c r="B7" s="84" t="s">
        <v>52</v>
      </c>
      <c r="C7" s="107" t="s">
        <v>53</v>
      </c>
      <c r="D7" s="240"/>
      <c r="E7" s="229"/>
      <c r="F7" s="231"/>
      <c r="G7" s="250"/>
      <c r="H7" s="248"/>
      <c r="I7" s="250"/>
      <c r="J7" s="252"/>
      <c r="K7" s="91"/>
      <c r="L7" s="221"/>
      <c r="M7" s="204"/>
      <c r="N7" s="209"/>
      <c r="O7" s="213"/>
      <c r="P7" s="209"/>
      <c r="Q7" s="204"/>
      <c r="R7" s="209"/>
      <c r="S7" s="199"/>
    </row>
    <row r="8" spans="1:19" ht="15" customHeight="1">
      <c r="A8" s="234"/>
      <c r="B8" s="84" t="s">
        <v>54</v>
      </c>
      <c r="C8" s="107" t="s">
        <v>55</v>
      </c>
      <c r="D8" s="240"/>
      <c r="E8" s="229"/>
      <c r="F8" s="231"/>
      <c r="G8" s="250"/>
      <c r="H8" s="248"/>
      <c r="I8" s="250"/>
      <c r="J8" s="252"/>
      <c r="K8" s="91"/>
      <c r="L8" s="221"/>
      <c r="M8" s="204"/>
      <c r="N8" s="209"/>
      <c r="O8" s="213"/>
      <c r="P8" s="209"/>
      <c r="Q8" s="204"/>
      <c r="R8" s="209"/>
      <c r="S8" s="199"/>
    </row>
    <row r="9" spans="1:19" ht="15" customHeight="1">
      <c r="A9" s="234"/>
      <c r="B9" s="84" t="s">
        <v>56</v>
      </c>
      <c r="C9" s="107" t="s">
        <v>57</v>
      </c>
      <c r="D9" s="240"/>
      <c r="E9" s="229"/>
      <c r="F9" s="231"/>
      <c r="G9" s="250"/>
      <c r="H9" s="248"/>
      <c r="I9" s="250"/>
      <c r="J9" s="252"/>
      <c r="K9" s="91"/>
      <c r="L9" s="221"/>
      <c r="M9" s="204"/>
      <c r="N9" s="209"/>
      <c r="O9" s="213"/>
      <c r="P9" s="209"/>
      <c r="Q9" s="204"/>
      <c r="R9" s="209"/>
      <c r="S9" s="199"/>
    </row>
    <row r="10" spans="1:19" ht="15" customHeight="1">
      <c r="A10" s="234"/>
      <c r="B10" s="84" t="s">
        <v>58</v>
      </c>
      <c r="C10" s="107" t="s">
        <v>59</v>
      </c>
      <c r="D10" s="240"/>
      <c r="E10" s="229"/>
      <c r="F10" s="231"/>
      <c r="G10" s="250"/>
      <c r="H10" s="248"/>
      <c r="I10" s="250"/>
      <c r="J10" s="252"/>
      <c r="K10" s="91"/>
      <c r="L10" s="221"/>
      <c r="M10" s="204"/>
      <c r="N10" s="209"/>
      <c r="O10" s="213"/>
      <c r="P10" s="209"/>
      <c r="Q10" s="204"/>
      <c r="R10" s="209"/>
      <c r="S10" s="199"/>
    </row>
    <row r="11" spans="1:19" ht="15" customHeight="1">
      <c r="A11" s="234"/>
      <c r="B11" s="84" t="s">
        <v>60</v>
      </c>
      <c r="C11" s="107" t="s">
        <v>61</v>
      </c>
      <c r="D11" s="240"/>
      <c r="E11" s="229"/>
      <c r="F11" s="231"/>
      <c r="G11" s="250"/>
      <c r="H11" s="248"/>
      <c r="I11" s="250"/>
      <c r="J11" s="252"/>
      <c r="K11" s="91"/>
      <c r="L11" s="221"/>
      <c r="M11" s="204"/>
      <c r="N11" s="209"/>
      <c r="O11" s="213"/>
      <c r="P11" s="209"/>
      <c r="Q11" s="204"/>
      <c r="R11" s="209"/>
      <c r="S11" s="199"/>
    </row>
    <row r="12" spans="1:19" ht="15" customHeight="1">
      <c r="A12" s="234"/>
      <c r="B12" s="84" t="s">
        <v>62</v>
      </c>
      <c r="C12" s="107" t="s">
        <v>63</v>
      </c>
      <c r="D12" s="240"/>
      <c r="E12" s="229"/>
      <c r="F12" s="231"/>
      <c r="G12" s="250"/>
      <c r="H12" s="248"/>
      <c r="I12" s="250"/>
      <c r="J12" s="252"/>
      <c r="K12" s="91"/>
      <c r="L12" s="221"/>
      <c r="M12" s="204"/>
      <c r="N12" s="209"/>
      <c r="O12" s="213"/>
      <c r="P12" s="209"/>
      <c r="Q12" s="204"/>
      <c r="R12" s="209"/>
      <c r="S12" s="199"/>
    </row>
    <row r="13" spans="1:19" ht="15" customHeight="1">
      <c r="A13" s="234"/>
      <c r="B13" s="84" t="s">
        <v>64</v>
      </c>
      <c r="C13" s="107" t="s">
        <v>65</v>
      </c>
      <c r="D13" s="240"/>
      <c r="E13" s="229"/>
      <c r="F13" s="231"/>
      <c r="G13" s="250"/>
      <c r="H13" s="248"/>
      <c r="I13" s="250"/>
      <c r="J13" s="252"/>
      <c r="K13" s="91"/>
      <c r="L13" s="221"/>
      <c r="M13" s="204"/>
      <c r="N13" s="209"/>
      <c r="O13" s="213"/>
      <c r="P13" s="209"/>
      <c r="Q13" s="204"/>
      <c r="R13" s="209"/>
      <c r="S13" s="199"/>
    </row>
    <row r="14" spans="1:19" ht="15" customHeight="1">
      <c r="A14" s="234"/>
      <c r="B14" s="84" t="s">
        <v>66</v>
      </c>
      <c r="C14" s="107" t="s">
        <v>67</v>
      </c>
      <c r="D14" s="240"/>
      <c r="E14" s="229"/>
      <c r="F14" s="231"/>
      <c r="G14" s="250"/>
      <c r="H14" s="248"/>
      <c r="I14" s="250"/>
      <c r="J14" s="252"/>
      <c r="K14" s="91"/>
      <c r="L14" s="221"/>
      <c r="M14" s="204"/>
      <c r="N14" s="209"/>
      <c r="O14" s="213"/>
      <c r="P14" s="209"/>
      <c r="Q14" s="204"/>
      <c r="R14" s="209"/>
      <c r="S14" s="199"/>
    </row>
    <row r="15" spans="1:19" ht="15" customHeight="1">
      <c r="A15" s="234"/>
      <c r="B15" s="84" t="s">
        <v>68</v>
      </c>
      <c r="C15" s="107" t="s">
        <v>69</v>
      </c>
      <c r="D15" s="240"/>
      <c r="E15" s="229"/>
      <c r="F15" s="231"/>
      <c r="G15" s="250"/>
      <c r="H15" s="248"/>
      <c r="I15" s="250"/>
      <c r="J15" s="252"/>
      <c r="K15" s="91"/>
      <c r="L15" s="221"/>
      <c r="M15" s="204"/>
      <c r="N15" s="209"/>
      <c r="O15" s="213"/>
      <c r="P15" s="209"/>
      <c r="Q15" s="204"/>
      <c r="R15" s="209"/>
      <c r="S15" s="199"/>
    </row>
    <row r="16" spans="1:19" ht="15" customHeight="1">
      <c r="A16" s="234"/>
      <c r="B16" s="84" t="s">
        <v>70</v>
      </c>
      <c r="C16" s="107" t="s">
        <v>71</v>
      </c>
      <c r="D16" s="240"/>
      <c r="E16" s="229"/>
      <c r="F16" s="231"/>
      <c r="G16" s="250"/>
      <c r="H16" s="248"/>
      <c r="I16" s="250"/>
      <c r="J16" s="252"/>
      <c r="K16" s="91"/>
      <c r="L16" s="221"/>
      <c r="M16" s="204"/>
      <c r="N16" s="209"/>
      <c r="O16" s="213"/>
      <c r="P16" s="209"/>
      <c r="Q16" s="204"/>
      <c r="R16" s="209"/>
      <c r="S16" s="199"/>
    </row>
    <row r="17" spans="1:19" ht="15" customHeight="1">
      <c r="A17" s="234"/>
      <c r="B17" s="84" t="s">
        <v>72</v>
      </c>
      <c r="C17" s="107" t="s">
        <v>73</v>
      </c>
      <c r="D17" s="240"/>
      <c r="E17" s="229"/>
      <c r="F17" s="231"/>
      <c r="G17" s="250"/>
      <c r="H17" s="248"/>
      <c r="I17" s="250"/>
      <c r="J17" s="252"/>
      <c r="K17" s="91"/>
      <c r="L17" s="221"/>
      <c r="M17" s="204"/>
      <c r="N17" s="209"/>
      <c r="O17" s="213"/>
      <c r="P17" s="209"/>
      <c r="Q17" s="204"/>
      <c r="R17" s="209"/>
      <c r="S17" s="199"/>
    </row>
    <row r="18" spans="1:19" ht="19.5" thickBot="1">
      <c r="A18" s="235"/>
      <c r="B18" s="87" t="s">
        <v>74</v>
      </c>
      <c r="C18" s="108" t="s">
        <v>75</v>
      </c>
      <c r="D18" s="240"/>
      <c r="E18" s="229"/>
      <c r="F18" s="231"/>
      <c r="G18" s="250"/>
      <c r="H18" s="248"/>
      <c r="I18" s="250"/>
      <c r="J18" s="252"/>
      <c r="K18" s="92"/>
      <c r="L18" s="222"/>
      <c r="M18" s="205"/>
      <c r="N18" s="210"/>
      <c r="O18" s="214"/>
      <c r="P18" s="210"/>
      <c r="Q18" s="205"/>
      <c r="R18" s="210"/>
      <c r="S18" s="200"/>
    </row>
    <row r="19" spans="1:19" ht="18.75">
      <c r="A19" s="239" t="s">
        <v>76</v>
      </c>
      <c r="B19" s="89" t="s">
        <v>48</v>
      </c>
      <c r="C19" s="106" t="s">
        <v>77</v>
      </c>
      <c r="D19" s="240">
        <v>14854.35967776</v>
      </c>
      <c r="E19" s="229">
        <v>5515</v>
      </c>
      <c r="F19" s="231">
        <f>E19/$F$2</f>
        <v>5013.6363636363631</v>
      </c>
      <c r="G19" s="209">
        <v>5943.21</v>
      </c>
      <c r="H19" s="209">
        <v>6232.47</v>
      </c>
      <c r="I19" s="209">
        <v>6593.84</v>
      </c>
      <c r="J19" s="230">
        <v>7316.86</v>
      </c>
      <c r="K19" s="90"/>
      <c r="L19" s="223">
        <f t="shared" ref="L19" si="0">G19-E19</f>
        <v>428.21000000000004</v>
      </c>
      <c r="M19" s="215">
        <f>L19/$F$2</f>
        <v>389.28181818181821</v>
      </c>
      <c r="N19" s="211">
        <f t="shared" ref="N19" si="1">H19-E19</f>
        <v>717.47000000000025</v>
      </c>
      <c r="O19" s="217">
        <f>N19/$F$2</f>
        <v>652.24545454545478</v>
      </c>
      <c r="P19" s="211">
        <f t="shared" ref="P19" si="2">I19-E19</f>
        <v>1078.8400000000001</v>
      </c>
      <c r="Q19" s="215">
        <f>P19/$F$2</f>
        <v>980.76363636363646</v>
      </c>
      <c r="R19" s="211">
        <f>J19-E19</f>
        <v>1801.8599999999997</v>
      </c>
      <c r="S19" s="198">
        <f>R19/$F$2</f>
        <v>1638.054545454545</v>
      </c>
    </row>
    <row r="20" spans="1:19" ht="18.75">
      <c r="A20" s="234"/>
      <c r="B20" s="84" t="s">
        <v>50</v>
      </c>
      <c r="C20" s="107" t="s">
        <v>78</v>
      </c>
      <c r="D20" s="240"/>
      <c r="E20" s="229"/>
      <c r="F20" s="231"/>
      <c r="G20" s="209"/>
      <c r="H20" s="209"/>
      <c r="I20" s="209"/>
      <c r="J20" s="230"/>
      <c r="K20" s="91"/>
      <c r="L20" s="221"/>
      <c r="M20" s="204"/>
      <c r="N20" s="209"/>
      <c r="O20" s="213"/>
      <c r="P20" s="209"/>
      <c r="Q20" s="204"/>
      <c r="R20" s="209"/>
      <c r="S20" s="199"/>
    </row>
    <row r="21" spans="1:19" ht="15" customHeight="1">
      <c r="A21" s="234"/>
      <c r="B21" s="84" t="s">
        <v>52</v>
      </c>
      <c r="C21" s="107" t="s">
        <v>53</v>
      </c>
      <c r="D21" s="240"/>
      <c r="E21" s="229"/>
      <c r="F21" s="231"/>
      <c r="G21" s="209"/>
      <c r="H21" s="209"/>
      <c r="I21" s="209"/>
      <c r="J21" s="230"/>
      <c r="K21" s="91"/>
      <c r="L21" s="221"/>
      <c r="M21" s="204"/>
      <c r="N21" s="209"/>
      <c r="O21" s="213"/>
      <c r="P21" s="209"/>
      <c r="Q21" s="204"/>
      <c r="R21" s="209"/>
      <c r="S21" s="199"/>
    </row>
    <row r="22" spans="1:19" ht="15" customHeight="1">
      <c r="A22" s="234"/>
      <c r="B22" s="84" t="s">
        <v>54</v>
      </c>
      <c r="C22" s="107" t="s">
        <v>55</v>
      </c>
      <c r="D22" s="240"/>
      <c r="E22" s="229"/>
      <c r="F22" s="231"/>
      <c r="G22" s="209"/>
      <c r="H22" s="209"/>
      <c r="I22" s="209"/>
      <c r="J22" s="230"/>
      <c r="K22" s="91"/>
      <c r="L22" s="221"/>
      <c r="M22" s="204"/>
      <c r="N22" s="209"/>
      <c r="O22" s="213"/>
      <c r="P22" s="209"/>
      <c r="Q22" s="204"/>
      <c r="R22" s="209"/>
      <c r="S22" s="199"/>
    </row>
    <row r="23" spans="1:19" ht="18.75">
      <c r="A23" s="234"/>
      <c r="B23" s="84" t="s">
        <v>56</v>
      </c>
      <c r="C23" s="107" t="s">
        <v>79</v>
      </c>
      <c r="D23" s="240"/>
      <c r="E23" s="229"/>
      <c r="F23" s="231"/>
      <c r="G23" s="209"/>
      <c r="H23" s="209"/>
      <c r="I23" s="209"/>
      <c r="J23" s="230"/>
      <c r="K23" s="91"/>
      <c r="L23" s="221"/>
      <c r="M23" s="204"/>
      <c r="N23" s="209"/>
      <c r="O23" s="213"/>
      <c r="P23" s="209"/>
      <c r="Q23" s="204"/>
      <c r="R23" s="209"/>
      <c r="S23" s="199"/>
    </row>
    <row r="24" spans="1:19" ht="15" customHeight="1">
      <c r="A24" s="234"/>
      <c r="B24" s="84" t="s">
        <v>58</v>
      </c>
      <c r="C24" s="107" t="s">
        <v>80</v>
      </c>
      <c r="D24" s="240"/>
      <c r="E24" s="229"/>
      <c r="F24" s="231"/>
      <c r="G24" s="209"/>
      <c r="H24" s="209"/>
      <c r="I24" s="209"/>
      <c r="J24" s="230"/>
      <c r="K24" s="91"/>
      <c r="L24" s="221"/>
      <c r="M24" s="204"/>
      <c r="N24" s="209"/>
      <c r="O24" s="213"/>
      <c r="P24" s="209"/>
      <c r="Q24" s="204"/>
      <c r="R24" s="209"/>
      <c r="S24" s="199"/>
    </row>
    <row r="25" spans="1:19" ht="18.75">
      <c r="A25" s="234"/>
      <c r="B25" s="84" t="s">
        <v>60</v>
      </c>
      <c r="C25" s="107" t="s">
        <v>61</v>
      </c>
      <c r="D25" s="240"/>
      <c r="E25" s="229"/>
      <c r="F25" s="231"/>
      <c r="G25" s="209"/>
      <c r="H25" s="209"/>
      <c r="I25" s="209"/>
      <c r="J25" s="230"/>
      <c r="K25" s="91"/>
      <c r="L25" s="221"/>
      <c r="M25" s="204"/>
      <c r="N25" s="209"/>
      <c r="O25" s="213"/>
      <c r="P25" s="209"/>
      <c r="Q25" s="204"/>
      <c r="R25" s="209"/>
      <c r="S25" s="199"/>
    </row>
    <row r="26" spans="1:19" ht="18.75">
      <c r="A26" s="234"/>
      <c r="B26" s="84" t="s">
        <v>62</v>
      </c>
      <c r="C26" s="107" t="s">
        <v>81</v>
      </c>
      <c r="D26" s="240"/>
      <c r="E26" s="229"/>
      <c r="F26" s="231"/>
      <c r="G26" s="209"/>
      <c r="H26" s="209"/>
      <c r="I26" s="209"/>
      <c r="J26" s="230"/>
      <c r="K26" s="91"/>
      <c r="L26" s="221"/>
      <c r="M26" s="204"/>
      <c r="N26" s="209"/>
      <c r="O26" s="213"/>
      <c r="P26" s="209"/>
      <c r="Q26" s="204"/>
      <c r="R26" s="209"/>
      <c r="S26" s="199"/>
    </row>
    <row r="27" spans="1:19" ht="15" customHeight="1">
      <c r="A27" s="234"/>
      <c r="B27" s="84" t="s">
        <v>64</v>
      </c>
      <c r="C27" s="107" t="s">
        <v>65</v>
      </c>
      <c r="D27" s="240"/>
      <c r="E27" s="229"/>
      <c r="F27" s="231"/>
      <c r="G27" s="209"/>
      <c r="H27" s="209"/>
      <c r="I27" s="209"/>
      <c r="J27" s="230"/>
      <c r="K27" s="91"/>
      <c r="L27" s="221"/>
      <c r="M27" s="204"/>
      <c r="N27" s="209"/>
      <c r="O27" s="213"/>
      <c r="P27" s="209"/>
      <c r="Q27" s="204"/>
      <c r="R27" s="209"/>
      <c r="S27" s="199"/>
    </row>
    <row r="28" spans="1:19" ht="18.75">
      <c r="A28" s="234"/>
      <c r="B28" s="84" t="s">
        <v>66</v>
      </c>
      <c r="C28" s="107" t="s">
        <v>82</v>
      </c>
      <c r="D28" s="240"/>
      <c r="E28" s="229"/>
      <c r="F28" s="231"/>
      <c r="G28" s="209"/>
      <c r="H28" s="209"/>
      <c r="I28" s="209"/>
      <c r="J28" s="230"/>
      <c r="K28" s="91"/>
      <c r="L28" s="221"/>
      <c r="M28" s="204"/>
      <c r="N28" s="209"/>
      <c r="O28" s="213"/>
      <c r="P28" s="209"/>
      <c r="Q28" s="204"/>
      <c r="R28" s="209"/>
      <c r="S28" s="199"/>
    </row>
    <row r="29" spans="1:19" ht="18.75">
      <c r="A29" s="234"/>
      <c r="B29" s="84" t="s">
        <v>68</v>
      </c>
      <c r="C29" s="107" t="s">
        <v>69</v>
      </c>
      <c r="D29" s="240"/>
      <c r="E29" s="229"/>
      <c r="F29" s="231"/>
      <c r="G29" s="209"/>
      <c r="H29" s="209"/>
      <c r="I29" s="209"/>
      <c r="J29" s="230"/>
      <c r="K29" s="91"/>
      <c r="L29" s="221"/>
      <c r="M29" s="204"/>
      <c r="N29" s="209"/>
      <c r="O29" s="213"/>
      <c r="P29" s="209"/>
      <c r="Q29" s="204"/>
      <c r="R29" s="209"/>
      <c r="S29" s="199"/>
    </row>
    <row r="30" spans="1:19" ht="15" customHeight="1">
      <c r="A30" s="234"/>
      <c r="B30" s="84" t="s">
        <v>70</v>
      </c>
      <c r="C30" s="107" t="s">
        <v>71</v>
      </c>
      <c r="D30" s="240"/>
      <c r="E30" s="229"/>
      <c r="F30" s="231"/>
      <c r="G30" s="209"/>
      <c r="H30" s="209"/>
      <c r="I30" s="209"/>
      <c r="J30" s="230"/>
      <c r="K30" s="91"/>
      <c r="L30" s="221"/>
      <c r="M30" s="204"/>
      <c r="N30" s="209"/>
      <c r="O30" s="213"/>
      <c r="P30" s="209"/>
      <c r="Q30" s="204"/>
      <c r="R30" s="209"/>
      <c r="S30" s="199"/>
    </row>
    <row r="31" spans="1:19" ht="15" customHeight="1">
      <c r="A31" s="234"/>
      <c r="B31" s="84" t="s">
        <v>72</v>
      </c>
      <c r="C31" s="107" t="s">
        <v>83</v>
      </c>
      <c r="D31" s="240"/>
      <c r="E31" s="229"/>
      <c r="F31" s="231"/>
      <c r="G31" s="209"/>
      <c r="H31" s="209"/>
      <c r="I31" s="209"/>
      <c r="J31" s="230"/>
      <c r="K31" s="91"/>
      <c r="L31" s="221"/>
      <c r="M31" s="204"/>
      <c r="N31" s="209"/>
      <c r="O31" s="213"/>
      <c r="P31" s="209"/>
      <c r="Q31" s="204"/>
      <c r="R31" s="209"/>
      <c r="S31" s="199"/>
    </row>
    <row r="32" spans="1:19" ht="15" customHeight="1" thickBot="1">
      <c r="A32" s="235"/>
      <c r="B32" s="87" t="s">
        <v>74</v>
      </c>
      <c r="C32" s="108" t="s">
        <v>75</v>
      </c>
      <c r="D32" s="240"/>
      <c r="E32" s="229"/>
      <c r="F32" s="231"/>
      <c r="G32" s="209"/>
      <c r="H32" s="209"/>
      <c r="I32" s="209"/>
      <c r="J32" s="230"/>
      <c r="K32" s="92"/>
      <c r="L32" s="222"/>
      <c r="M32" s="205"/>
      <c r="N32" s="210"/>
      <c r="O32" s="214"/>
      <c r="P32" s="210"/>
      <c r="Q32" s="205"/>
      <c r="R32" s="210"/>
      <c r="S32" s="200"/>
    </row>
    <row r="33" spans="1:19" ht="18.75">
      <c r="A33" s="239" t="s">
        <v>84</v>
      </c>
      <c r="B33" s="94" t="s">
        <v>48</v>
      </c>
      <c r="C33" s="106" t="s">
        <v>85</v>
      </c>
      <c r="D33" s="240">
        <v>14630.370557759999</v>
      </c>
      <c r="E33" s="229">
        <v>5774</v>
      </c>
      <c r="F33" s="231">
        <f>E33/$F$2</f>
        <v>5249.090909090909</v>
      </c>
      <c r="G33" s="209">
        <v>6202.07</v>
      </c>
      <c r="H33" s="209" t="s">
        <v>86</v>
      </c>
      <c r="I33" s="209">
        <v>6854.49</v>
      </c>
      <c r="J33" s="230">
        <v>7579.51</v>
      </c>
      <c r="K33" s="90"/>
      <c r="L33" s="223">
        <f t="shared" ref="L33" si="3">G33-E33</f>
        <v>428.06999999999971</v>
      </c>
      <c r="M33" s="215">
        <f>L33/$F$2</f>
        <v>389.15454545454514</v>
      </c>
      <c r="N33" s="211">
        <v>718.13</v>
      </c>
      <c r="O33" s="217">
        <f>N33/F2</f>
        <v>652.84545454545446</v>
      </c>
      <c r="P33" s="211">
        <f t="shared" ref="P33" si="4">I33-E33</f>
        <v>1080.4899999999998</v>
      </c>
      <c r="Q33" s="215">
        <f>P33/$F$2</f>
        <v>982.26363636363612</v>
      </c>
      <c r="R33" s="211">
        <f>J33-E33</f>
        <v>1805.5100000000002</v>
      </c>
      <c r="S33" s="198">
        <f>R33/$F$2</f>
        <v>1641.3727272727274</v>
      </c>
    </row>
    <row r="34" spans="1:19" ht="18.75">
      <c r="A34" s="234"/>
      <c r="B34" s="85" t="s">
        <v>50</v>
      </c>
      <c r="C34" s="107" t="s">
        <v>87</v>
      </c>
      <c r="D34" s="240"/>
      <c r="E34" s="229"/>
      <c r="F34" s="231"/>
      <c r="G34" s="209"/>
      <c r="H34" s="209"/>
      <c r="I34" s="209"/>
      <c r="J34" s="230"/>
      <c r="K34" s="91"/>
      <c r="L34" s="221"/>
      <c r="M34" s="204"/>
      <c r="N34" s="209"/>
      <c r="O34" s="213"/>
      <c r="P34" s="209"/>
      <c r="Q34" s="204"/>
      <c r="R34" s="209"/>
      <c r="S34" s="199"/>
    </row>
    <row r="35" spans="1:19" ht="28.5">
      <c r="A35" s="234"/>
      <c r="B35" s="85" t="s">
        <v>52</v>
      </c>
      <c r="C35" s="107" t="s">
        <v>53</v>
      </c>
      <c r="D35" s="240"/>
      <c r="E35" s="229"/>
      <c r="F35" s="231"/>
      <c r="G35" s="209"/>
      <c r="H35" s="209"/>
      <c r="I35" s="209"/>
      <c r="J35" s="230"/>
      <c r="K35" s="91"/>
      <c r="L35" s="221"/>
      <c r="M35" s="204"/>
      <c r="N35" s="209"/>
      <c r="O35" s="213"/>
      <c r="P35" s="209"/>
      <c r="Q35" s="204"/>
      <c r="R35" s="209"/>
      <c r="S35" s="199"/>
    </row>
    <row r="36" spans="1:19" ht="18.75">
      <c r="A36" s="234"/>
      <c r="B36" s="85" t="s">
        <v>54</v>
      </c>
      <c r="C36" s="107" t="s">
        <v>55</v>
      </c>
      <c r="D36" s="240"/>
      <c r="E36" s="229"/>
      <c r="F36" s="231"/>
      <c r="G36" s="209"/>
      <c r="H36" s="209"/>
      <c r="I36" s="209"/>
      <c r="J36" s="230"/>
      <c r="K36" s="91"/>
      <c r="L36" s="221"/>
      <c r="M36" s="204"/>
      <c r="N36" s="209"/>
      <c r="O36" s="213"/>
      <c r="P36" s="209"/>
      <c r="Q36" s="204"/>
      <c r="R36" s="209"/>
      <c r="S36" s="199"/>
    </row>
    <row r="37" spans="1:19" ht="18.75">
      <c r="A37" s="234"/>
      <c r="B37" s="85" t="s">
        <v>56</v>
      </c>
      <c r="C37" s="107" t="s">
        <v>88</v>
      </c>
      <c r="D37" s="240"/>
      <c r="E37" s="229"/>
      <c r="F37" s="231"/>
      <c r="G37" s="209"/>
      <c r="H37" s="209"/>
      <c r="I37" s="209"/>
      <c r="J37" s="230"/>
      <c r="K37" s="91"/>
      <c r="L37" s="221"/>
      <c r="M37" s="204"/>
      <c r="N37" s="209"/>
      <c r="O37" s="213"/>
      <c r="P37" s="209"/>
      <c r="Q37" s="204"/>
      <c r="R37" s="209"/>
      <c r="S37" s="199"/>
    </row>
    <row r="38" spans="1:19" ht="18.75">
      <c r="A38" s="234"/>
      <c r="B38" s="85" t="s">
        <v>58</v>
      </c>
      <c r="C38" s="107" t="s">
        <v>89</v>
      </c>
      <c r="D38" s="240"/>
      <c r="E38" s="229"/>
      <c r="F38" s="231"/>
      <c r="G38" s="209"/>
      <c r="H38" s="209"/>
      <c r="I38" s="209"/>
      <c r="J38" s="230"/>
      <c r="K38" s="91"/>
      <c r="L38" s="221"/>
      <c r="M38" s="204"/>
      <c r="N38" s="209"/>
      <c r="O38" s="213"/>
      <c r="P38" s="209"/>
      <c r="Q38" s="204"/>
      <c r="R38" s="209"/>
      <c r="S38" s="199"/>
    </row>
    <row r="39" spans="1:19" ht="18.75">
      <c r="A39" s="234"/>
      <c r="B39" s="85" t="s">
        <v>60</v>
      </c>
      <c r="C39" s="107" t="s">
        <v>61</v>
      </c>
      <c r="D39" s="240"/>
      <c r="E39" s="229"/>
      <c r="F39" s="231"/>
      <c r="G39" s="209"/>
      <c r="H39" s="209"/>
      <c r="I39" s="209"/>
      <c r="J39" s="230"/>
      <c r="K39" s="91"/>
      <c r="L39" s="221"/>
      <c r="M39" s="204"/>
      <c r="N39" s="209"/>
      <c r="O39" s="213"/>
      <c r="P39" s="209"/>
      <c r="Q39" s="204"/>
      <c r="R39" s="209"/>
      <c r="S39" s="199"/>
    </row>
    <row r="40" spans="1:19" ht="18.75">
      <c r="A40" s="234"/>
      <c r="B40" s="85" t="s">
        <v>62</v>
      </c>
      <c r="C40" s="107" t="s">
        <v>81</v>
      </c>
      <c r="D40" s="240"/>
      <c r="E40" s="229"/>
      <c r="F40" s="231"/>
      <c r="G40" s="209"/>
      <c r="H40" s="209"/>
      <c r="I40" s="209"/>
      <c r="J40" s="230"/>
      <c r="K40" s="91"/>
      <c r="L40" s="221"/>
      <c r="M40" s="204"/>
      <c r="N40" s="209"/>
      <c r="O40" s="213"/>
      <c r="P40" s="209"/>
      <c r="Q40" s="204"/>
      <c r="R40" s="209"/>
      <c r="S40" s="199"/>
    </row>
    <row r="41" spans="1:19" ht="18.75">
      <c r="A41" s="234"/>
      <c r="B41" s="85" t="s">
        <v>64</v>
      </c>
      <c r="C41" s="107" t="s">
        <v>65</v>
      </c>
      <c r="D41" s="240"/>
      <c r="E41" s="229"/>
      <c r="F41" s="231"/>
      <c r="G41" s="209"/>
      <c r="H41" s="209"/>
      <c r="I41" s="209"/>
      <c r="J41" s="230"/>
      <c r="K41" s="91"/>
      <c r="L41" s="221"/>
      <c r="M41" s="204"/>
      <c r="N41" s="209"/>
      <c r="O41" s="213"/>
      <c r="P41" s="209"/>
      <c r="Q41" s="204"/>
      <c r="R41" s="209"/>
      <c r="S41" s="199"/>
    </row>
    <row r="42" spans="1:19" ht="18.75">
      <c r="A42" s="234"/>
      <c r="B42" s="85" t="s">
        <v>66</v>
      </c>
      <c r="C42" s="107" t="s">
        <v>82</v>
      </c>
      <c r="D42" s="240"/>
      <c r="E42" s="229"/>
      <c r="F42" s="231"/>
      <c r="G42" s="209"/>
      <c r="H42" s="209"/>
      <c r="I42" s="209"/>
      <c r="J42" s="230"/>
      <c r="K42" s="91"/>
      <c r="L42" s="221"/>
      <c r="M42" s="204"/>
      <c r="N42" s="209"/>
      <c r="O42" s="213"/>
      <c r="P42" s="209"/>
      <c r="Q42" s="204"/>
      <c r="R42" s="209"/>
      <c r="S42" s="199"/>
    </row>
    <row r="43" spans="1:19" ht="18.75">
      <c r="A43" s="234"/>
      <c r="B43" s="85" t="s">
        <v>68</v>
      </c>
      <c r="C43" s="107" t="s">
        <v>69</v>
      </c>
      <c r="D43" s="240"/>
      <c r="E43" s="229"/>
      <c r="F43" s="231"/>
      <c r="G43" s="209"/>
      <c r="H43" s="209"/>
      <c r="I43" s="209"/>
      <c r="J43" s="230"/>
      <c r="K43" s="91"/>
      <c r="L43" s="221"/>
      <c r="M43" s="204"/>
      <c r="N43" s="209"/>
      <c r="O43" s="213"/>
      <c r="P43" s="209"/>
      <c r="Q43" s="204"/>
      <c r="R43" s="209"/>
      <c r="S43" s="199"/>
    </row>
    <row r="44" spans="1:19" ht="18.75">
      <c r="A44" s="234"/>
      <c r="B44" s="85" t="s">
        <v>70</v>
      </c>
      <c r="C44" s="107" t="s">
        <v>71</v>
      </c>
      <c r="D44" s="240"/>
      <c r="E44" s="229"/>
      <c r="F44" s="231"/>
      <c r="G44" s="209"/>
      <c r="H44" s="209"/>
      <c r="I44" s="209"/>
      <c r="J44" s="230"/>
      <c r="K44" s="91"/>
      <c r="L44" s="221"/>
      <c r="M44" s="204"/>
      <c r="N44" s="209"/>
      <c r="O44" s="213"/>
      <c r="P44" s="209"/>
      <c r="Q44" s="204"/>
      <c r="R44" s="209"/>
      <c r="S44" s="199"/>
    </row>
    <row r="45" spans="1:19" ht="18.75">
      <c r="A45" s="234"/>
      <c r="B45" s="85" t="s">
        <v>72</v>
      </c>
      <c r="C45" s="107" t="s">
        <v>90</v>
      </c>
      <c r="D45" s="240"/>
      <c r="E45" s="229"/>
      <c r="F45" s="231"/>
      <c r="G45" s="209"/>
      <c r="H45" s="209"/>
      <c r="I45" s="209"/>
      <c r="J45" s="230"/>
      <c r="K45" s="91"/>
      <c r="L45" s="221"/>
      <c r="M45" s="204"/>
      <c r="N45" s="209"/>
      <c r="O45" s="213"/>
      <c r="P45" s="209"/>
      <c r="Q45" s="204"/>
      <c r="R45" s="209"/>
      <c r="S45" s="199"/>
    </row>
    <row r="46" spans="1:19" ht="19.5" thickBot="1">
      <c r="A46" s="242"/>
      <c r="B46" s="95" t="s">
        <v>74</v>
      </c>
      <c r="C46" s="109" t="s">
        <v>75</v>
      </c>
      <c r="D46" s="240"/>
      <c r="E46" s="229"/>
      <c r="F46" s="231"/>
      <c r="G46" s="209"/>
      <c r="H46" s="209"/>
      <c r="I46" s="209"/>
      <c r="J46" s="230"/>
      <c r="K46" s="91"/>
      <c r="L46" s="224"/>
      <c r="M46" s="216"/>
      <c r="N46" s="225"/>
      <c r="O46" s="218"/>
      <c r="P46" s="225"/>
      <c r="Q46" s="216"/>
      <c r="R46" s="225"/>
      <c r="S46" s="201"/>
    </row>
    <row r="47" spans="1:19" ht="18.75">
      <c r="A47" s="239" t="s">
        <v>91</v>
      </c>
      <c r="B47" s="89" t="s">
        <v>48</v>
      </c>
      <c r="C47" s="110" t="s">
        <v>92</v>
      </c>
      <c r="D47" s="240">
        <v>18771.57986976</v>
      </c>
      <c r="E47" s="229">
        <v>7983</v>
      </c>
      <c r="F47" s="231">
        <f>E47/$F$2</f>
        <v>7257.272727272727</v>
      </c>
      <c r="G47" s="209">
        <v>8580.73</v>
      </c>
      <c r="H47" s="209">
        <v>8985.24</v>
      </c>
      <c r="I47" s="209">
        <v>9490.6</v>
      </c>
      <c r="J47" s="230">
        <v>10501.7</v>
      </c>
      <c r="K47" s="90"/>
      <c r="L47" s="223">
        <f t="shared" ref="L47" si="5">G47-E47</f>
        <v>597.72999999999956</v>
      </c>
      <c r="M47" s="215">
        <f>L47/$F$2</f>
        <v>543.39090909090862</v>
      </c>
      <c r="N47" s="211">
        <f t="shared" ref="N47" si="6">H47-E47</f>
        <v>1002.2399999999998</v>
      </c>
      <c r="O47" s="217">
        <f>N47/$F$2</f>
        <v>911.1272727272725</v>
      </c>
      <c r="P47" s="211">
        <f t="shared" ref="P47" si="7">I47-E47</f>
        <v>1507.6000000000004</v>
      </c>
      <c r="Q47" s="215">
        <f>P47/$F$2</f>
        <v>1370.5454545454547</v>
      </c>
      <c r="R47" s="211">
        <f>J47-E47</f>
        <v>2518.7000000000007</v>
      </c>
      <c r="S47" s="198">
        <f>R47/$F$2</f>
        <v>2289.7272727272734</v>
      </c>
    </row>
    <row r="48" spans="1:19" ht="18.75">
      <c r="A48" s="234"/>
      <c r="B48" s="84" t="s">
        <v>50</v>
      </c>
      <c r="C48" s="107" t="s">
        <v>93</v>
      </c>
      <c r="D48" s="240"/>
      <c r="E48" s="229"/>
      <c r="F48" s="231"/>
      <c r="G48" s="209"/>
      <c r="H48" s="209"/>
      <c r="I48" s="209"/>
      <c r="J48" s="230"/>
      <c r="K48" s="91"/>
      <c r="L48" s="221"/>
      <c r="M48" s="204"/>
      <c r="N48" s="209"/>
      <c r="O48" s="213"/>
      <c r="P48" s="209"/>
      <c r="Q48" s="204"/>
      <c r="R48" s="209"/>
      <c r="S48" s="199"/>
    </row>
    <row r="49" spans="1:19" ht="30">
      <c r="A49" s="234"/>
      <c r="B49" s="84" t="s">
        <v>52</v>
      </c>
      <c r="C49" s="107" t="s">
        <v>53</v>
      </c>
      <c r="D49" s="240"/>
      <c r="E49" s="229"/>
      <c r="F49" s="231"/>
      <c r="G49" s="209"/>
      <c r="H49" s="209"/>
      <c r="I49" s="209"/>
      <c r="J49" s="230"/>
      <c r="K49" s="91"/>
      <c r="L49" s="221"/>
      <c r="M49" s="204"/>
      <c r="N49" s="209"/>
      <c r="O49" s="213"/>
      <c r="P49" s="209"/>
      <c r="Q49" s="204"/>
      <c r="R49" s="209"/>
      <c r="S49" s="199"/>
    </row>
    <row r="50" spans="1:19" ht="18.75">
      <c r="A50" s="234"/>
      <c r="B50" s="84" t="s">
        <v>54</v>
      </c>
      <c r="C50" s="107" t="s">
        <v>55</v>
      </c>
      <c r="D50" s="240"/>
      <c r="E50" s="229"/>
      <c r="F50" s="231"/>
      <c r="G50" s="209"/>
      <c r="H50" s="209"/>
      <c r="I50" s="209"/>
      <c r="J50" s="230"/>
      <c r="K50" s="91"/>
      <c r="L50" s="221"/>
      <c r="M50" s="204"/>
      <c r="N50" s="209"/>
      <c r="O50" s="213"/>
      <c r="P50" s="209"/>
      <c r="Q50" s="204"/>
      <c r="R50" s="209"/>
      <c r="S50" s="199"/>
    </row>
    <row r="51" spans="1:19" ht="18.75">
      <c r="A51" s="234"/>
      <c r="B51" s="84" t="s">
        <v>56</v>
      </c>
      <c r="C51" s="107" t="s">
        <v>94</v>
      </c>
      <c r="D51" s="240"/>
      <c r="E51" s="229"/>
      <c r="F51" s="231"/>
      <c r="G51" s="209"/>
      <c r="H51" s="209"/>
      <c r="I51" s="209"/>
      <c r="J51" s="230"/>
      <c r="K51" s="91"/>
      <c r="L51" s="221"/>
      <c r="M51" s="204"/>
      <c r="N51" s="209"/>
      <c r="O51" s="213"/>
      <c r="P51" s="209"/>
      <c r="Q51" s="204"/>
      <c r="R51" s="209"/>
      <c r="S51" s="199"/>
    </row>
    <row r="52" spans="1:19" ht="18.75">
      <c r="A52" s="234"/>
      <c r="B52" s="84" t="s">
        <v>58</v>
      </c>
      <c r="C52" s="107" t="s">
        <v>80</v>
      </c>
      <c r="D52" s="240"/>
      <c r="E52" s="229"/>
      <c r="F52" s="231"/>
      <c r="G52" s="209"/>
      <c r="H52" s="209"/>
      <c r="I52" s="209"/>
      <c r="J52" s="230"/>
      <c r="K52" s="91"/>
      <c r="L52" s="221"/>
      <c r="M52" s="204"/>
      <c r="N52" s="209"/>
      <c r="O52" s="213"/>
      <c r="P52" s="209"/>
      <c r="Q52" s="204"/>
      <c r="R52" s="209"/>
      <c r="S52" s="199"/>
    </row>
    <row r="53" spans="1:19" ht="18.75">
      <c r="A53" s="234"/>
      <c r="B53" s="84" t="s">
        <v>60</v>
      </c>
      <c r="C53" s="107" t="s">
        <v>61</v>
      </c>
      <c r="D53" s="240"/>
      <c r="E53" s="229"/>
      <c r="F53" s="231"/>
      <c r="G53" s="209"/>
      <c r="H53" s="209"/>
      <c r="I53" s="209"/>
      <c r="J53" s="230"/>
      <c r="K53" s="91"/>
      <c r="L53" s="221"/>
      <c r="M53" s="204"/>
      <c r="N53" s="209"/>
      <c r="O53" s="213"/>
      <c r="P53" s="209"/>
      <c r="Q53" s="204"/>
      <c r="R53" s="209"/>
      <c r="S53" s="199"/>
    </row>
    <row r="54" spans="1:19" ht="18.75">
      <c r="A54" s="234"/>
      <c r="B54" s="84" t="s">
        <v>62</v>
      </c>
      <c r="C54" s="107" t="s">
        <v>81</v>
      </c>
      <c r="D54" s="240"/>
      <c r="E54" s="229"/>
      <c r="F54" s="231"/>
      <c r="G54" s="209"/>
      <c r="H54" s="209"/>
      <c r="I54" s="209"/>
      <c r="J54" s="230"/>
      <c r="K54" s="91"/>
      <c r="L54" s="221"/>
      <c r="M54" s="204"/>
      <c r="N54" s="209"/>
      <c r="O54" s="213"/>
      <c r="P54" s="209"/>
      <c r="Q54" s="204"/>
      <c r="R54" s="209"/>
      <c r="S54" s="199"/>
    </row>
    <row r="55" spans="1:19" ht="18.75">
      <c r="A55" s="234"/>
      <c r="B55" s="84" t="s">
        <v>64</v>
      </c>
      <c r="C55" s="107" t="s">
        <v>65</v>
      </c>
      <c r="D55" s="240"/>
      <c r="E55" s="229"/>
      <c r="F55" s="231"/>
      <c r="G55" s="209"/>
      <c r="H55" s="209"/>
      <c r="I55" s="209"/>
      <c r="J55" s="230"/>
      <c r="K55" s="91"/>
      <c r="L55" s="221"/>
      <c r="M55" s="204"/>
      <c r="N55" s="209"/>
      <c r="O55" s="213"/>
      <c r="P55" s="209"/>
      <c r="Q55" s="204"/>
      <c r="R55" s="209"/>
      <c r="S55" s="199"/>
    </row>
    <row r="56" spans="1:19" ht="18.75">
      <c r="A56" s="234"/>
      <c r="B56" s="84" t="s">
        <v>66</v>
      </c>
      <c r="C56" s="107" t="s">
        <v>82</v>
      </c>
      <c r="D56" s="240"/>
      <c r="E56" s="229"/>
      <c r="F56" s="231"/>
      <c r="G56" s="209"/>
      <c r="H56" s="209"/>
      <c r="I56" s="209"/>
      <c r="J56" s="230"/>
      <c r="K56" s="91"/>
      <c r="L56" s="221"/>
      <c r="M56" s="204"/>
      <c r="N56" s="209"/>
      <c r="O56" s="213"/>
      <c r="P56" s="209"/>
      <c r="Q56" s="204"/>
      <c r="R56" s="209"/>
      <c r="S56" s="199"/>
    </row>
    <row r="57" spans="1:19" ht="18.75">
      <c r="A57" s="234"/>
      <c r="B57" s="84" t="s">
        <v>68</v>
      </c>
      <c r="C57" s="107" t="s">
        <v>69</v>
      </c>
      <c r="D57" s="240"/>
      <c r="E57" s="229"/>
      <c r="F57" s="231"/>
      <c r="G57" s="209"/>
      <c r="H57" s="209"/>
      <c r="I57" s="209"/>
      <c r="J57" s="230"/>
      <c r="K57" s="91"/>
      <c r="L57" s="221"/>
      <c r="M57" s="204"/>
      <c r="N57" s="209"/>
      <c r="O57" s="213"/>
      <c r="P57" s="209"/>
      <c r="Q57" s="204"/>
      <c r="R57" s="209"/>
      <c r="S57" s="199"/>
    </row>
    <row r="58" spans="1:19" ht="18.75">
      <c r="A58" s="234"/>
      <c r="B58" s="84" t="s">
        <v>70</v>
      </c>
      <c r="C58" s="107" t="s">
        <v>71</v>
      </c>
      <c r="D58" s="240"/>
      <c r="E58" s="229"/>
      <c r="F58" s="231"/>
      <c r="G58" s="209"/>
      <c r="H58" s="209"/>
      <c r="I58" s="209"/>
      <c r="J58" s="230"/>
      <c r="K58" s="91"/>
      <c r="L58" s="221"/>
      <c r="M58" s="204"/>
      <c r="N58" s="209"/>
      <c r="O58" s="213"/>
      <c r="P58" s="209"/>
      <c r="Q58" s="204"/>
      <c r="R58" s="209"/>
      <c r="S58" s="199"/>
    </row>
    <row r="59" spans="1:19" ht="18.75">
      <c r="A59" s="234"/>
      <c r="B59" s="84" t="s">
        <v>72</v>
      </c>
      <c r="C59" s="107" t="s">
        <v>83</v>
      </c>
      <c r="D59" s="240"/>
      <c r="E59" s="229"/>
      <c r="F59" s="231"/>
      <c r="G59" s="209"/>
      <c r="H59" s="209"/>
      <c r="I59" s="209"/>
      <c r="J59" s="230"/>
      <c r="K59" s="91"/>
      <c r="L59" s="221"/>
      <c r="M59" s="204"/>
      <c r="N59" s="209"/>
      <c r="O59" s="213"/>
      <c r="P59" s="209"/>
      <c r="Q59" s="204"/>
      <c r="R59" s="209"/>
      <c r="S59" s="199"/>
    </row>
    <row r="60" spans="1:19" ht="19.5" thickBot="1">
      <c r="A60" s="235"/>
      <c r="B60" s="87" t="s">
        <v>74</v>
      </c>
      <c r="C60" s="108" t="s">
        <v>75</v>
      </c>
      <c r="D60" s="240"/>
      <c r="E60" s="229"/>
      <c r="F60" s="231"/>
      <c r="G60" s="209"/>
      <c r="H60" s="209"/>
      <c r="I60" s="209"/>
      <c r="J60" s="230"/>
      <c r="K60" s="92"/>
      <c r="L60" s="222"/>
      <c r="M60" s="205"/>
      <c r="N60" s="210"/>
      <c r="O60" s="214"/>
      <c r="P60" s="210"/>
      <c r="Q60" s="205"/>
      <c r="R60" s="210"/>
      <c r="S60" s="200"/>
    </row>
    <row r="61" spans="1:19" ht="18.75">
      <c r="A61" s="239" t="s">
        <v>95</v>
      </c>
      <c r="B61" s="89" t="s">
        <v>48</v>
      </c>
      <c r="C61" s="106" t="s">
        <v>96</v>
      </c>
      <c r="D61" s="240">
        <v>13800.396029760001</v>
      </c>
      <c r="E61" s="229">
        <v>4640</v>
      </c>
      <c r="F61" s="231">
        <f>E61/$F$2</f>
        <v>4218.181818181818</v>
      </c>
      <c r="G61" s="209">
        <v>4999.3500000000004</v>
      </c>
      <c r="H61" s="209">
        <v>5242.59</v>
      </c>
      <c r="I61" s="209">
        <v>5546.48</v>
      </c>
      <c r="J61" s="230">
        <v>6154.47</v>
      </c>
      <c r="K61" s="90"/>
      <c r="L61" s="223">
        <f t="shared" ref="L61" si="8">G61-E61</f>
        <v>359.35000000000036</v>
      </c>
      <c r="M61" s="215">
        <f>L61/$F$2</f>
        <v>326.68181818181847</v>
      </c>
      <c r="N61" s="211">
        <f t="shared" ref="N61" si="9">H61-E61</f>
        <v>602.59000000000015</v>
      </c>
      <c r="O61" s="217">
        <f>N61/$F$2</f>
        <v>547.80909090909097</v>
      </c>
      <c r="P61" s="211">
        <f t="shared" ref="P61" si="10">I61-E61</f>
        <v>906.47999999999956</v>
      </c>
      <c r="Q61" s="215">
        <f>P61/$F$2</f>
        <v>824.07272727272687</v>
      </c>
      <c r="R61" s="211">
        <f>J61-E61</f>
        <v>1514.4700000000003</v>
      </c>
      <c r="S61" s="198">
        <f>R61/$F$2</f>
        <v>1376.7909090909093</v>
      </c>
    </row>
    <row r="62" spans="1:19" ht="18.75">
      <c r="A62" s="234"/>
      <c r="B62" s="84" t="s">
        <v>50</v>
      </c>
      <c r="C62" s="107" t="s">
        <v>78</v>
      </c>
      <c r="D62" s="240"/>
      <c r="E62" s="229"/>
      <c r="F62" s="231"/>
      <c r="G62" s="209"/>
      <c r="H62" s="209"/>
      <c r="I62" s="209"/>
      <c r="J62" s="230"/>
      <c r="K62" s="91"/>
      <c r="L62" s="221"/>
      <c r="M62" s="204"/>
      <c r="N62" s="209"/>
      <c r="O62" s="213"/>
      <c r="P62" s="209"/>
      <c r="Q62" s="204"/>
      <c r="R62" s="209"/>
      <c r="S62" s="199"/>
    </row>
    <row r="63" spans="1:19" ht="30">
      <c r="A63" s="234"/>
      <c r="B63" s="84" t="s">
        <v>52</v>
      </c>
      <c r="C63" s="107" t="s">
        <v>97</v>
      </c>
      <c r="D63" s="240"/>
      <c r="E63" s="229"/>
      <c r="F63" s="231"/>
      <c r="G63" s="209"/>
      <c r="H63" s="209"/>
      <c r="I63" s="209"/>
      <c r="J63" s="230"/>
      <c r="K63" s="91"/>
      <c r="L63" s="221"/>
      <c r="M63" s="204"/>
      <c r="N63" s="209"/>
      <c r="O63" s="213"/>
      <c r="P63" s="209"/>
      <c r="Q63" s="204"/>
      <c r="R63" s="209"/>
      <c r="S63" s="199"/>
    </row>
    <row r="64" spans="1:19" ht="18.75">
      <c r="A64" s="234"/>
      <c r="B64" s="84" t="s">
        <v>54</v>
      </c>
      <c r="C64" s="107" t="s">
        <v>55</v>
      </c>
      <c r="D64" s="240"/>
      <c r="E64" s="229"/>
      <c r="F64" s="231"/>
      <c r="G64" s="209"/>
      <c r="H64" s="209"/>
      <c r="I64" s="209"/>
      <c r="J64" s="230"/>
      <c r="K64" s="91"/>
      <c r="L64" s="221"/>
      <c r="M64" s="204"/>
      <c r="N64" s="209"/>
      <c r="O64" s="213"/>
      <c r="P64" s="209"/>
      <c r="Q64" s="204"/>
      <c r="R64" s="209"/>
      <c r="S64" s="199"/>
    </row>
    <row r="65" spans="1:19" ht="18.75">
      <c r="A65" s="234"/>
      <c r="B65" s="84" t="s">
        <v>56</v>
      </c>
      <c r="C65" s="107" t="s">
        <v>98</v>
      </c>
      <c r="D65" s="240"/>
      <c r="E65" s="229"/>
      <c r="F65" s="231"/>
      <c r="G65" s="209"/>
      <c r="H65" s="209"/>
      <c r="I65" s="209"/>
      <c r="J65" s="230"/>
      <c r="K65" s="91"/>
      <c r="L65" s="221"/>
      <c r="M65" s="204"/>
      <c r="N65" s="209"/>
      <c r="O65" s="213"/>
      <c r="P65" s="209"/>
      <c r="Q65" s="204"/>
      <c r="R65" s="209"/>
      <c r="S65" s="199"/>
    </row>
    <row r="66" spans="1:19" ht="18.75">
      <c r="A66" s="234"/>
      <c r="B66" s="84" t="s">
        <v>58</v>
      </c>
      <c r="C66" s="107" t="s">
        <v>99</v>
      </c>
      <c r="D66" s="240"/>
      <c r="E66" s="229"/>
      <c r="F66" s="231"/>
      <c r="G66" s="209"/>
      <c r="H66" s="209"/>
      <c r="I66" s="209"/>
      <c r="J66" s="230"/>
      <c r="K66" s="91"/>
      <c r="L66" s="221"/>
      <c r="M66" s="204"/>
      <c r="N66" s="209"/>
      <c r="O66" s="213"/>
      <c r="P66" s="209"/>
      <c r="Q66" s="204"/>
      <c r="R66" s="209"/>
      <c r="S66" s="199"/>
    </row>
    <row r="67" spans="1:19" ht="18.75">
      <c r="A67" s="234"/>
      <c r="B67" s="84" t="s">
        <v>60</v>
      </c>
      <c r="C67" s="107" t="s">
        <v>61</v>
      </c>
      <c r="D67" s="240"/>
      <c r="E67" s="229"/>
      <c r="F67" s="231"/>
      <c r="G67" s="209"/>
      <c r="H67" s="209"/>
      <c r="I67" s="209"/>
      <c r="J67" s="230"/>
      <c r="K67" s="91"/>
      <c r="L67" s="221"/>
      <c r="M67" s="204"/>
      <c r="N67" s="209"/>
      <c r="O67" s="213"/>
      <c r="P67" s="209"/>
      <c r="Q67" s="204"/>
      <c r="R67" s="209"/>
      <c r="S67" s="199"/>
    </row>
    <row r="68" spans="1:19" ht="18.75">
      <c r="A68" s="234"/>
      <c r="B68" s="84" t="s">
        <v>62</v>
      </c>
      <c r="C68" s="107" t="s">
        <v>81</v>
      </c>
      <c r="D68" s="240"/>
      <c r="E68" s="229"/>
      <c r="F68" s="231"/>
      <c r="G68" s="209"/>
      <c r="H68" s="209"/>
      <c r="I68" s="209"/>
      <c r="J68" s="230"/>
      <c r="K68" s="91"/>
      <c r="L68" s="221"/>
      <c r="M68" s="204"/>
      <c r="N68" s="209"/>
      <c r="O68" s="213"/>
      <c r="P68" s="209"/>
      <c r="Q68" s="204"/>
      <c r="R68" s="209"/>
      <c r="S68" s="199"/>
    </row>
    <row r="69" spans="1:19" ht="18.75">
      <c r="A69" s="234"/>
      <c r="B69" s="84" t="s">
        <v>64</v>
      </c>
      <c r="C69" s="107" t="s">
        <v>65</v>
      </c>
      <c r="D69" s="240"/>
      <c r="E69" s="229"/>
      <c r="F69" s="231"/>
      <c r="G69" s="209"/>
      <c r="H69" s="209"/>
      <c r="I69" s="209"/>
      <c r="J69" s="230"/>
      <c r="K69" s="91"/>
      <c r="L69" s="221"/>
      <c r="M69" s="204"/>
      <c r="N69" s="209"/>
      <c r="O69" s="213"/>
      <c r="P69" s="209"/>
      <c r="Q69" s="204"/>
      <c r="R69" s="209"/>
      <c r="S69" s="199"/>
    </row>
    <row r="70" spans="1:19" ht="18.75">
      <c r="A70" s="234"/>
      <c r="B70" s="84" t="s">
        <v>66</v>
      </c>
      <c r="C70" s="107" t="s">
        <v>82</v>
      </c>
      <c r="D70" s="240"/>
      <c r="E70" s="229"/>
      <c r="F70" s="231"/>
      <c r="G70" s="209"/>
      <c r="H70" s="209"/>
      <c r="I70" s="209"/>
      <c r="J70" s="230"/>
      <c r="K70" s="91"/>
      <c r="L70" s="221"/>
      <c r="M70" s="204"/>
      <c r="N70" s="209"/>
      <c r="O70" s="213"/>
      <c r="P70" s="209"/>
      <c r="Q70" s="204"/>
      <c r="R70" s="209"/>
      <c r="S70" s="199"/>
    </row>
    <row r="71" spans="1:19" ht="18.75">
      <c r="A71" s="234"/>
      <c r="B71" s="84" t="s">
        <v>68</v>
      </c>
      <c r="C71" s="107" t="s">
        <v>69</v>
      </c>
      <c r="D71" s="240"/>
      <c r="E71" s="229"/>
      <c r="F71" s="231"/>
      <c r="G71" s="209"/>
      <c r="H71" s="209"/>
      <c r="I71" s="209"/>
      <c r="J71" s="230"/>
      <c r="K71" s="91"/>
      <c r="L71" s="221"/>
      <c r="M71" s="204"/>
      <c r="N71" s="209"/>
      <c r="O71" s="213"/>
      <c r="P71" s="209"/>
      <c r="Q71" s="204"/>
      <c r="R71" s="209"/>
      <c r="S71" s="199"/>
    </row>
    <row r="72" spans="1:19" ht="18.75">
      <c r="A72" s="234"/>
      <c r="B72" s="84" t="s">
        <v>70</v>
      </c>
      <c r="C72" s="107" t="s">
        <v>71</v>
      </c>
      <c r="D72" s="240"/>
      <c r="E72" s="229"/>
      <c r="F72" s="231"/>
      <c r="G72" s="209"/>
      <c r="H72" s="209"/>
      <c r="I72" s="209"/>
      <c r="J72" s="230"/>
      <c r="K72" s="91"/>
      <c r="L72" s="221"/>
      <c r="M72" s="204"/>
      <c r="N72" s="209"/>
      <c r="O72" s="213"/>
      <c r="P72" s="209"/>
      <c r="Q72" s="204"/>
      <c r="R72" s="209"/>
      <c r="S72" s="199"/>
    </row>
    <row r="73" spans="1:19" ht="18.75">
      <c r="A73" s="234"/>
      <c r="B73" s="84" t="s">
        <v>72</v>
      </c>
      <c r="C73" s="107" t="s">
        <v>83</v>
      </c>
      <c r="D73" s="240"/>
      <c r="E73" s="229"/>
      <c r="F73" s="231"/>
      <c r="G73" s="209"/>
      <c r="H73" s="209"/>
      <c r="I73" s="209"/>
      <c r="J73" s="230"/>
      <c r="K73" s="91"/>
      <c r="L73" s="221"/>
      <c r="M73" s="204"/>
      <c r="N73" s="209"/>
      <c r="O73" s="213"/>
      <c r="P73" s="209"/>
      <c r="Q73" s="204"/>
      <c r="R73" s="209"/>
      <c r="S73" s="199"/>
    </row>
    <row r="74" spans="1:19" ht="19.5" thickBot="1">
      <c r="A74" s="242"/>
      <c r="B74" s="96" t="s">
        <v>74</v>
      </c>
      <c r="C74" s="109" t="s">
        <v>75</v>
      </c>
      <c r="D74" s="240"/>
      <c r="E74" s="229"/>
      <c r="F74" s="231"/>
      <c r="G74" s="209"/>
      <c r="H74" s="209"/>
      <c r="I74" s="209"/>
      <c r="J74" s="230"/>
      <c r="K74" s="91"/>
      <c r="L74" s="224"/>
      <c r="M74" s="216"/>
      <c r="N74" s="225"/>
      <c r="O74" s="218"/>
      <c r="P74" s="225"/>
      <c r="Q74" s="216"/>
      <c r="R74" s="225"/>
      <c r="S74" s="201"/>
    </row>
    <row r="75" spans="1:19" ht="18.75">
      <c r="A75" s="239" t="s">
        <v>100</v>
      </c>
      <c r="B75" s="89" t="s">
        <v>48</v>
      </c>
      <c r="C75" s="106" t="s">
        <v>101</v>
      </c>
      <c r="D75" s="240">
        <v>20256.525437759999</v>
      </c>
      <c r="E75" s="229">
        <v>8275</v>
      </c>
      <c r="F75" s="231">
        <f>E75/$F$2</f>
        <v>7522.7272727272721</v>
      </c>
      <c r="G75" s="209">
        <v>8896.2999999999993</v>
      </c>
      <c r="H75" s="209">
        <v>9317.08</v>
      </c>
      <c r="I75" s="209">
        <v>9842.77</v>
      </c>
      <c r="J75" s="230">
        <v>10894.54</v>
      </c>
      <c r="K75" s="90"/>
      <c r="L75" s="223">
        <f t="shared" ref="L75" si="11">G75-E75</f>
        <v>621.29999999999927</v>
      </c>
      <c r="M75" s="215">
        <f>L75/$F$2</f>
        <v>564.81818181818107</v>
      </c>
      <c r="N75" s="211">
        <f t="shared" ref="N75" si="12">H75-E75</f>
        <v>1042.08</v>
      </c>
      <c r="O75" s="217">
        <f>N75/$F$2</f>
        <v>947.34545454545446</v>
      </c>
      <c r="P75" s="211">
        <f t="shared" ref="P75" si="13">I75-E75</f>
        <v>1567.7700000000004</v>
      </c>
      <c r="Q75" s="215">
        <f>P75/$F$2</f>
        <v>1425.2454545454548</v>
      </c>
      <c r="R75" s="211">
        <f>J75-E75</f>
        <v>2619.5400000000009</v>
      </c>
      <c r="S75" s="198">
        <f>R75/$F$2</f>
        <v>2381.4000000000005</v>
      </c>
    </row>
    <row r="76" spans="1:19" ht="18.75">
      <c r="A76" s="234"/>
      <c r="B76" s="84" t="s">
        <v>50</v>
      </c>
      <c r="C76" s="107" t="s">
        <v>93</v>
      </c>
      <c r="D76" s="240"/>
      <c r="E76" s="229"/>
      <c r="F76" s="231"/>
      <c r="G76" s="209"/>
      <c r="H76" s="209"/>
      <c r="I76" s="209"/>
      <c r="J76" s="230"/>
      <c r="K76" s="91"/>
      <c r="L76" s="221"/>
      <c r="M76" s="204"/>
      <c r="N76" s="209"/>
      <c r="O76" s="213"/>
      <c r="P76" s="209"/>
      <c r="Q76" s="204"/>
      <c r="R76" s="209"/>
      <c r="S76" s="199"/>
    </row>
    <row r="77" spans="1:19" ht="30">
      <c r="A77" s="234"/>
      <c r="B77" s="84" t="s">
        <v>52</v>
      </c>
      <c r="C77" s="107" t="s">
        <v>53</v>
      </c>
      <c r="D77" s="240"/>
      <c r="E77" s="229"/>
      <c r="F77" s="231"/>
      <c r="G77" s="209"/>
      <c r="H77" s="209"/>
      <c r="I77" s="209"/>
      <c r="J77" s="230"/>
      <c r="K77" s="91"/>
      <c r="L77" s="221"/>
      <c r="M77" s="204"/>
      <c r="N77" s="209"/>
      <c r="O77" s="213"/>
      <c r="P77" s="209"/>
      <c r="Q77" s="204"/>
      <c r="R77" s="209"/>
      <c r="S77" s="199"/>
    </row>
    <row r="78" spans="1:19" ht="18.75">
      <c r="A78" s="234"/>
      <c r="B78" s="84" t="s">
        <v>54</v>
      </c>
      <c r="C78" s="107" t="s">
        <v>55</v>
      </c>
      <c r="D78" s="240"/>
      <c r="E78" s="229"/>
      <c r="F78" s="231"/>
      <c r="G78" s="209"/>
      <c r="H78" s="209"/>
      <c r="I78" s="209"/>
      <c r="J78" s="230"/>
      <c r="K78" s="91"/>
      <c r="L78" s="221"/>
      <c r="M78" s="204"/>
      <c r="N78" s="209"/>
      <c r="O78" s="213"/>
      <c r="P78" s="209"/>
      <c r="Q78" s="204"/>
      <c r="R78" s="209"/>
      <c r="S78" s="199"/>
    </row>
    <row r="79" spans="1:19" ht="18.75">
      <c r="A79" s="234"/>
      <c r="B79" s="84" t="s">
        <v>56</v>
      </c>
      <c r="C79" s="107" t="s">
        <v>102</v>
      </c>
      <c r="D79" s="240"/>
      <c r="E79" s="229"/>
      <c r="F79" s="231"/>
      <c r="G79" s="209"/>
      <c r="H79" s="209"/>
      <c r="I79" s="209"/>
      <c r="J79" s="230"/>
      <c r="K79" s="91"/>
      <c r="L79" s="221"/>
      <c r="M79" s="204"/>
      <c r="N79" s="209"/>
      <c r="O79" s="213"/>
      <c r="P79" s="209"/>
      <c r="Q79" s="204"/>
      <c r="R79" s="209"/>
      <c r="S79" s="199"/>
    </row>
    <row r="80" spans="1:19" ht="18.75">
      <c r="A80" s="234"/>
      <c r="B80" s="84" t="s">
        <v>58</v>
      </c>
      <c r="C80" s="107" t="s">
        <v>99</v>
      </c>
      <c r="D80" s="240"/>
      <c r="E80" s="229"/>
      <c r="F80" s="231"/>
      <c r="G80" s="209"/>
      <c r="H80" s="209"/>
      <c r="I80" s="209"/>
      <c r="J80" s="230"/>
      <c r="K80" s="91"/>
      <c r="L80" s="221"/>
      <c r="M80" s="204"/>
      <c r="N80" s="209"/>
      <c r="O80" s="213"/>
      <c r="P80" s="209"/>
      <c r="Q80" s="204"/>
      <c r="R80" s="209"/>
      <c r="S80" s="199"/>
    </row>
    <row r="81" spans="1:19" ht="18.75">
      <c r="A81" s="234"/>
      <c r="B81" s="84" t="s">
        <v>60</v>
      </c>
      <c r="C81" s="107" t="s">
        <v>61</v>
      </c>
      <c r="D81" s="240"/>
      <c r="E81" s="229"/>
      <c r="F81" s="231"/>
      <c r="G81" s="209"/>
      <c r="H81" s="209"/>
      <c r="I81" s="209"/>
      <c r="J81" s="230"/>
      <c r="K81" s="91"/>
      <c r="L81" s="221"/>
      <c r="M81" s="204"/>
      <c r="N81" s="209"/>
      <c r="O81" s="213"/>
      <c r="P81" s="209"/>
      <c r="Q81" s="204"/>
      <c r="R81" s="209"/>
      <c r="S81" s="199"/>
    </row>
    <row r="82" spans="1:19" ht="18.75">
      <c r="A82" s="234"/>
      <c r="B82" s="84" t="s">
        <v>62</v>
      </c>
      <c r="C82" s="107" t="s">
        <v>81</v>
      </c>
      <c r="D82" s="240"/>
      <c r="E82" s="229"/>
      <c r="F82" s="231"/>
      <c r="G82" s="209"/>
      <c r="H82" s="209"/>
      <c r="I82" s="209"/>
      <c r="J82" s="230"/>
      <c r="K82" s="91"/>
      <c r="L82" s="221"/>
      <c r="M82" s="204"/>
      <c r="N82" s="209"/>
      <c r="O82" s="213"/>
      <c r="P82" s="209"/>
      <c r="Q82" s="204"/>
      <c r="R82" s="209"/>
      <c r="S82" s="199"/>
    </row>
    <row r="83" spans="1:19" ht="18.75">
      <c r="A83" s="234"/>
      <c r="B83" s="84" t="s">
        <v>64</v>
      </c>
      <c r="C83" s="107" t="s">
        <v>65</v>
      </c>
      <c r="D83" s="240"/>
      <c r="E83" s="229"/>
      <c r="F83" s="231"/>
      <c r="G83" s="209"/>
      <c r="H83" s="209"/>
      <c r="I83" s="209"/>
      <c r="J83" s="230"/>
      <c r="K83" s="91"/>
      <c r="L83" s="221"/>
      <c r="M83" s="204"/>
      <c r="N83" s="209"/>
      <c r="O83" s="213"/>
      <c r="P83" s="209"/>
      <c r="Q83" s="204"/>
      <c r="R83" s="209"/>
      <c r="S83" s="199"/>
    </row>
    <row r="84" spans="1:19" ht="18.75">
      <c r="A84" s="234"/>
      <c r="B84" s="84" t="s">
        <v>66</v>
      </c>
      <c r="C84" s="107" t="s">
        <v>82</v>
      </c>
      <c r="D84" s="240"/>
      <c r="E84" s="229"/>
      <c r="F84" s="231"/>
      <c r="G84" s="209"/>
      <c r="H84" s="209"/>
      <c r="I84" s="209"/>
      <c r="J84" s="230"/>
      <c r="K84" s="91"/>
      <c r="L84" s="221"/>
      <c r="M84" s="204"/>
      <c r="N84" s="209"/>
      <c r="O84" s="213"/>
      <c r="P84" s="209"/>
      <c r="Q84" s="204"/>
      <c r="R84" s="209"/>
      <c r="S84" s="199"/>
    </row>
    <row r="85" spans="1:19" ht="18.75">
      <c r="A85" s="234"/>
      <c r="B85" s="84" t="s">
        <v>68</v>
      </c>
      <c r="C85" s="107" t="s">
        <v>69</v>
      </c>
      <c r="D85" s="240"/>
      <c r="E85" s="229"/>
      <c r="F85" s="231"/>
      <c r="G85" s="209"/>
      <c r="H85" s="209"/>
      <c r="I85" s="209"/>
      <c r="J85" s="230"/>
      <c r="K85" s="91"/>
      <c r="L85" s="221"/>
      <c r="M85" s="204"/>
      <c r="N85" s="209"/>
      <c r="O85" s="213"/>
      <c r="P85" s="209"/>
      <c r="Q85" s="204"/>
      <c r="R85" s="209"/>
      <c r="S85" s="199"/>
    </row>
    <row r="86" spans="1:19" ht="18.75">
      <c r="A86" s="234"/>
      <c r="B86" s="84" t="s">
        <v>70</v>
      </c>
      <c r="C86" s="107" t="s">
        <v>71</v>
      </c>
      <c r="D86" s="240"/>
      <c r="E86" s="229"/>
      <c r="F86" s="231"/>
      <c r="G86" s="209"/>
      <c r="H86" s="209"/>
      <c r="I86" s="209"/>
      <c r="J86" s="230"/>
      <c r="K86" s="91"/>
      <c r="L86" s="221"/>
      <c r="M86" s="204"/>
      <c r="N86" s="209"/>
      <c r="O86" s="213"/>
      <c r="P86" s="209"/>
      <c r="Q86" s="204"/>
      <c r="R86" s="209"/>
      <c r="S86" s="199"/>
    </row>
    <row r="87" spans="1:19" ht="18.75">
      <c r="A87" s="234"/>
      <c r="B87" s="84" t="s">
        <v>72</v>
      </c>
      <c r="C87" s="107" t="s">
        <v>83</v>
      </c>
      <c r="D87" s="240"/>
      <c r="E87" s="229"/>
      <c r="F87" s="231"/>
      <c r="G87" s="209"/>
      <c r="H87" s="209"/>
      <c r="I87" s="209"/>
      <c r="J87" s="230"/>
      <c r="K87" s="91"/>
      <c r="L87" s="221"/>
      <c r="M87" s="204"/>
      <c r="N87" s="209"/>
      <c r="O87" s="213"/>
      <c r="P87" s="209"/>
      <c r="Q87" s="204"/>
      <c r="R87" s="209"/>
      <c r="S87" s="199"/>
    </row>
    <row r="88" spans="1:19" ht="19.5" thickBot="1">
      <c r="A88" s="235"/>
      <c r="B88" s="87" t="s">
        <v>74</v>
      </c>
      <c r="C88" s="108" t="s">
        <v>75</v>
      </c>
      <c r="D88" s="240"/>
      <c r="E88" s="229"/>
      <c r="F88" s="231"/>
      <c r="G88" s="209"/>
      <c r="H88" s="209"/>
      <c r="I88" s="209"/>
      <c r="J88" s="230"/>
      <c r="K88" s="92"/>
      <c r="L88" s="222"/>
      <c r="M88" s="205"/>
      <c r="N88" s="210"/>
      <c r="O88" s="214"/>
      <c r="P88" s="210"/>
      <c r="Q88" s="205"/>
      <c r="R88" s="210"/>
      <c r="S88" s="200"/>
    </row>
    <row r="89" spans="1:19" ht="18.75">
      <c r="A89" s="239" t="s">
        <v>103</v>
      </c>
      <c r="B89" s="89" t="s">
        <v>48</v>
      </c>
      <c r="C89" s="106" t="s">
        <v>104</v>
      </c>
      <c r="D89" s="240">
        <v>47570.155133760003</v>
      </c>
      <c r="E89" s="229">
        <v>15961</v>
      </c>
      <c r="F89" s="231">
        <f>E89/$F$2</f>
        <v>14509.999999999998</v>
      </c>
      <c r="G89" s="209">
        <v>17202.93</v>
      </c>
      <c r="H89" s="209">
        <v>18211.34</v>
      </c>
      <c r="I89" s="209">
        <v>19093.11</v>
      </c>
      <c r="J89" s="230">
        <v>21613.67</v>
      </c>
      <c r="K89" s="90"/>
      <c r="L89" s="223">
        <f t="shared" ref="L89" si="14">G89-E89</f>
        <v>1241.9300000000003</v>
      </c>
      <c r="M89" s="215">
        <f>L89/$F$2</f>
        <v>1129.0272727272729</v>
      </c>
      <c r="N89" s="211">
        <f t="shared" ref="N89" si="15">H89-E89</f>
        <v>2250.34</v>
      </c>
      <c r="O89" s="217">
        <f>N89/$F$2</f>
        <v>2045.7636363636364</v>
      </c>
      <c r="P89" s="211">
        <f t="shared" ref="P89" si="16">I89-E89</f>
        <v>3132.1100000000006</v>
      </c>
      <c r="Q89" s="215">
        <f>P89/$F$2</f>
        <v>2847.3727272727274</v>
      </c>
      <c r="R89" s="211">
        <f>J89-E89</f>
        <v>5652.6699999999983</v>
      </c>
      <c r="S89" s="198">
        <f>R89/$F$2</f>
        <v>5138.790909090907</v>
      </c>
    </row>
    <row r="90" spans="1:19" ht="18.75">
      <c r="A90" s="234"/>
      <c r="B90" s="84" t="s">
        <v>50</v>
      </c>
      <c r="C90" s="107" t="s">
        <v>105</v>
      </c>
      <c r="D90" s="240"/>
      <c r="E90" s="229"/>
      <c r="F90" s="231"/>
      <c r="G90" s="209"/>
      <c r="H90" s="209"/>
      <c r="I90" s="209"/>
      <c r="J90" s="230"/>
      <c r="K90" s="91"/>
      <c r="L90" s="221"/>
      <c r="M90" s="204"/>
      <c r="N90" s="209"/>
      <c r="O90" s="213"/>
      <c r="P90" s="209"/>
      <c r="Q90" s="204"/>
      <c r="R90" s="209"/>
      <c r="S90" s="199"/>
    </row>
    <row r="91" spans="1:19" ht="30">
      <c r="A91" s="234"/>
      <c r="B91" s="84" t="s">
        <v>52</v>
      </c>
      <c r="C91" s="107" t="s">
        <v>106</v>
      </c>
      <c r="D91" s="240"/>
      <c r="E91" s="229"/>
      <c r="F91" s="231"/>
      <c r="G91" s="209"/>
      <c r="H91" s="209"/>
      <c r="I91" s="209"/>
      <c r="J91" s="230"/>
      <c r="K91" s="91"/>
      <c r="L91" s="221"/>
      <c r="M91" s="204"/>
      <c r="N91" s="209"/>
      <c r="O91" s="213"/>
      <c r="P91" s="209"/>
      <c r="Q91" s="204"/>
      <c r="R91" s="209"/>
      <c r="S91" s="199"/>
    </row>
    <row r="92" spans="1:19" ht="18.75">
      <c r="A92" s="234"/>
      <c r="B92" s="84" t="s">
        <v>54</v>
      </c>
      <c r="C92" s="107" t="s">
        <v>55</v>
      </c>
      <c r="D92" s="240"/>
      <c r="E92" s="229"/>
      <c r="F92" s="231"/>
      <c r="G92" s="209"/>
      <c r="H92" s="209"/>
      <c r="I92" s="209"/>
      <c r="J92" s="230"/>
      <c r="K92" s="91"/>
      <c r="L92" s="221"/>
      <c r="M92" s="204"/>
      <c r="N92" s="209"/>
      <c r="O92" s="213"/>
      <c r="P92" s="209"/>
      <c r="Q92" s="204"/>
      <c r="R92" s="209"/>
      <c r="S92" s="199"/>
    </row>
    <row r="93" spans="1:19" ht="18.75">
      <c r="A93" s="234"/>
      <c r="B93" s="84" t="s">
        <v>56</v>
      </c>
      <c r="C93" s="107" t="s">
        <v>107</v>
      </c>
      <c r="D93" s="240"/>
      <c r="E93" s="229"/>
      <c r="F93" s="231"/>
      <c r="G93" s="209"/>
      <c r="H93" s="209"/>
      <c r="I93" s="209"/>
      <c r="J93" s="230"/>
      <c r="K93" s="91"/>
      <c r="L93" s="221"/>
      <c r="M93" s="204"/>
      <c r="N93" s="209"/>
      <c r="O93" s="213"/>
      <c r="P93" s="209"/>
      <c r="Q93" s="204"/>
      <c r="R93" s="209"/>
      <c r="S93" s="199"/>
    </row>
    <row r="94" spans="1:19" ht="18.75">
      <c r="A94" s="234"/>
      <c r="B94" s="84" t="s">
        <v>58</v>
      </c>
      <c r="C94" s="107" t="s">
        <v>108</v>
      </c>
      <c r="D94" s="240"/>
      <c r="E94" s="229"/>
      <c r="F94" s="231"/>
      <c r="G94" s="209"/>
      <c r="H94" s="209"/>
      <c r="I94" s="209"/>
      <c r="J94" s="230"/>
      <c r="K94" s="91"/>
      <c r="L94" s="221"/>
      <c r="M94" s="204"/>
      <c r="N94" s="209"/>
      <c r="O94" s="213"/>
      <c r="P94" s="209"/>
      <c r="Q94" s="204"/>
      <c r="R94" s="209"/>
      <c r="S94" s="199"/>
    </row>
    <row r="95" spans="1:19" ht="18.75">
      <c r="A95" s="234"/>
      <c r="B95" s="84" t="s">
        <v>60</v>
      </c>
      <c r="C95" s="107" t="s">
        <v>61</v>
      </c>
      <c r="D95" s="240"/>
      <c r="E95" s="229"/>
      <c r="F95" s="231"/>
      <c r="G95" s="209"/>
      <c r="H95" s="209"/>
      <c r="I95" s="209"/>
      <c r="J95" s="230"/>
      <c r="K95" s="91"/>
      <c r="L95" s="221"/>
      <c r="M95" s="204"/>
      <c r="N95" s="209"/>
      <c r="O95" s="213"/>
      <c r="P95" s="209"/>
      <c r="Q95" s="204"/>
      <c r="R95" s="209"/>
      <c r="S95" s="199"/>
    </row>
    <row r="96" spans="1:19" ht="18.75">
      <c r="A96" s="234"/>
      <c r="B96" s="84" t="s">
        <v>62</v>
      </c>
      <c r="C96" s="107" t="s">
        <v>81</v>
      </c>
      <c r="D96" s="240"/>
      <c r="E96" s="229"/>
      <c r="F96" s="231"/>
      <c r="G96" s="209"/>
      <c r="H96" s="209"/>
      <c r="I96" s="209"/>
      <c r="J96" s="230"/>
      <c r="K96" s="91"/>
      <c r="L96" s="221"/>
      <c r="M96" s="204"/>
      <c r="N96" s="209"/>
      <c r="O96" s="213"/>
      <c r="P96" s="209"/>
      <c r="Q96" s="204"/>
      <c r="R96" s="209"/>
      <c r="S96" s="199"/>
    </row>
    <row r="97" spans="1:19" ht="18.75">
      <c r="A97" s="234"/>
      <c r="B97" s="84" t="s">
        <v>64</v>
      </c>
      <c r="C97" s="107" t="s">
        <v>65</v>
      </c>
      <c r="D97" s="240"/>
      <c r="E97" s="229"/>
      <c r="F97" s="231"/>
      <c r="G97" s="209"/>
      <c r="H97" s="209"/>
      <c r="I97" s="209"/>
      <c r="J97" s="230"/>
      <c r="K97" s="91"/>
      <c r="L97" s="221"/>
      <c r="M97" s="204"/>
      <c r="N97" s="209"/>
      <c r="O97" s="213"/>
      <c r="P97" s="209"/>
      <c r="Q97" s="204"/>
      <c r="R97" s="209"/>
      <c r="S97" s="199"/>
    </row>
    <row r="98" spans="1:19" ht="18.75">
      <c r="A98" s="234"/>
      <c r="B98" s="84" t="s">
        <v>66</v>
      </c>
      <c r="C98" s="107" t="s">
        <v>82</v>
      </c>
      <c r="D98" s="240"/>
      <c r="E98" s="229"/>
      <c r="F98" s="231"/>
      <c r="G98" s="209"/>
      <c r="H98" s="209"/>
      <c r="I98" s="209"/>
      <c r="J98" s="230"/>
      <c r="K98" s="91"/>
      <c r="L98" s="221"/>
      <c r="M98" s="204"/>
      <c r="N98" s="209"/>
      <c r="O98" s="213"/>
      <c r="P98" s="209"/>
      <c r="Q98" s="204"/>
      <c r="R98" s="209"/>
      <c r="S98" s="199"/>
    </row>
    <row r="99" spans="1:19" ht="18.75">
      <c r="A99" s="234"/>
      <c r="B99" s="84" t="s">
        <v>68</v>
      </c>
      <c r="C99" s="107" t="s">
        <v>69</v>
      </c>
      <c r="D99" s="240"/>
      <c r="E99" s="229"/>
      <c r="F99" s="231"/>
      <c r="G99" s="209"/>
      <c r="H99" s="209"/>
      <c r="I99" s="209"/>
      <c r="J99" s="230"/>
      <c r="K99" s="91"/>
      <c r="L99" s="221"/>
      <c r="M99" s="204"/>
      <c r="N99" s="209"/>
      <c r="O99" s="213"/>
      <c r="P99" s="209"/>
      <c r="Q99" s="204"/>
      <c r="R99" s="209"/>
      <c r="S99" s="199"/>
    </row>
    <row r="100" spans="1:19" ht="18.75">
      <c r="A100" s="234"/>
      <c r="B100" s="84" t="s">
        <v>70</v>
      </c>
      <c r="C100" s="107" t="s">
        <v>71</v>
      </c>
      <c r="D100" s="240"/>
      <c r="E100" s="229"/>
      <c r="F100" s="231"/>
      <c r="G100" s="209"/>
      <c r="H100" s="209"/>
      <c r="I100" s="209"/>
      <c r="J100" s="230"/>
      <c r="K100" s="91"/>
      <c r="L100" s="221"/>
      <c r="M100" s="204"/>
      <c r="N100" s="209"/>
      <c r="O100" s="213"/>
      <c r="P100" s="209"/>
      <c r="Q100" s="204"/>
      <c r="R100" s="209"/>
      <c r="S100" s="199"/>
    </row>
    <row r="101" spans="1:19" ht="18.75">
      <c r="A101" s="234"/>
      <c r="B101" s="84" t="s">
        <v>72</v>
      </c>
      <c r="C101" s="107" t="s">
        <v>83</v>
      </c>
      <c r="D101" s="240"/>
      <c r="E101" s="229"/>
      <c r="F101" s="231"/>
      <c r="G101" s="209"/>
      <c r="H101" s="209"/>
      <c r="I101" s="209"/>
      <c r="J101" s="230"/>
      <c r="K101" s="91"/>
      <c r="L101" s="221"/>
      <c r="M101" s="204"/>
      <c r="N101" s="209"/>
      <c r="O101" s="213"/>
      <c r="P101" s="209"/>
      <c r="Q101" s="204"/>
      <c r="R101" s="209"/>
      <c r="S101" s="199"/>
    </row>
    <row r="102" spans="1:19" ht="19.5" thickBot="1">
      <c r="A102" s="242"/>
      <c r="B102" s="96" t="s">
        <v>74</v>
      </c>
      <c r="C102" s="109" t="s">
        <v>75</v>
      </c>
      <c r="D102" s="240"/>
      <c r="E102" s="229"/>
      <c r="F102" s="231"/>
      <c r="G102" s="209"/>
      <c r="H102" s="209"/>
      <c r="I102" s="209"/>
      <c r="J102" s="230"/>
      <c r="K102" s="91"/>
      <c r="L102" s="224"/>
      <c r="M102" s="216"/>
      <c r="N102" s="225"/>
      <c r="O102" s="218"/>
      <c r="P102" s="225"/>
      <c r="Q102" s="216"/>
      <c r="R102" s="225"/>
      <c r="S102" s="201"/>
    </row>
    <row r="103" spans="1:19" ht="18.75">
      <c r="A103" s="239" t="s">
        <v>109</v>
      </c>
      <c r="B103" s="89" t="s">
        <v>48</v>
      </c>
      <c r="C103" s="106" t="s">
        <v>110</v>
      </c>
      <c r="D103" s="240">
        <v>69117.876509759997</v>
      </c>
      <c r="E103" s="229">
        <v>23408</v>
      </c>
      <c r="F103" s="231">
        <f>E103/$F$2</f>
        <v>21280</v>
      </c>
      <c r="G103" s="209">
        <v>25218.68</v>
      </c>
      <c r="H103" s="209">
        <v>26685.86</v>
      </c>
      <c r="I103" s="209">
        <v>27968.799999999999</v>
      </c>
      <c r="J103" s="230">
        <v>31636.09</v>
      </c>
      <c r="K103" s="90"/>
      <c r="L103" s="223">
        <f t="shared" ref="L103" si="17">G103-E103</f>
        <v>1810.6800000000003</v>
      </c>
      <c r="M103" s="215">
        <f>L103/$F$2</f>
        <v>1646.0727272727274</v>
      </c>
      <c r="N103" s="211">
        <f t="shared" ref="N103" si="18">H103-E103</f>
        <v>3277.8600000000006</v>
      </c>
      <c r="O103" s="217">
        <f>N103/$F$2</f>
        <v>2979.8727272727274</v>
      </c>
      <c r="P103" s="211">
        <f t="shared" ref="P103" si="19">I103-E103</f>
        <v>4560.7999999999993</v>
      </c>
      <c r="Q103" s="215">
        <f>P103/$F$2</f>
        <v>4146.1818181818171</v>
      </c>
      <c r="R103" s="211">
        <f>J103-E103</f>
        <v>8228.09</v>
      </c>
      <c r="S103" s="198">
        <f>R103/$F$2</f>
        <v>7480.0818181818177</v>
      </c>
    </row>
    <row r="104" spans="1:19" ht="18.75">
      <c r="A104" s="234"/>
      <c r="B104" s="84" t="s">
        <v>50</v>
      </c>
      <c r="C104" s="107" t="s">
        <v>111</v>
      </c>
      <c r="D104" s="240"/>
      <c r="E104" s="229"/>
      <c r="F104" s="231"/>
      <c r="G104" s="209"/>
      <c r="H104" s="209"/>
      <c r="I104" s="209"/>
      <c r="J104" s="230"/>
      <c r="K104" s="91"/>
      <c r="L104" s="221"/>
      <c r="M104" s="204"/>
      <c r="N104" s="209"/>
      <c r="O104" s="213"/>
      <c r="P104" s="209"/>
      <c r="Q104" s="204"/>
      <c r="R104" s="209"/>
      <c r="S104" s="199"/>
    </row>
    <row r="105" spans="1:19" ht="30">
      <c r="A105" s="234"/>
      <c r="B105" s="84" t="s">
        <v>52</v>
      </c>
      <c r="C105" s="107" t="s">
        <v>106</v>
      </c>
      <c r="D105" s="240"/>
      <c r="E105" s="229"/>
      <c r="F105" s="231"/>
      <c r="G105" s="209"/>
      <c r="H105" s="209"/>
      <c r="I105" s="209"/>
      <c r="J105" s="230"/>
      <c r="K105" s="91"/>
      <c r="L105" s="221"/>
      <c r="M105" s="204"/>
      <c r="N105" s="209"/>
      <c r="O105" s="213"/>
      <c r="P105" s="209"/>
      <c r="Q105" s="204"/>
      <c r="R105" s="209"/>
      <c r="S105" s="199"/>
    </row>
    <row r="106" spans="1:19" ht="18.75">
      <c r="A106" s="234"/>
      <c r="B106" s="84" t="s">
        <v>54</v>
      </c>
      <c r="C106" s="107" t="s">
        <v>55</v>
      </c>
      <c r="D106" s="240"/>
      <c r="E106" s="229"/>
      <c r="F106" s="231"/>
      <c r="G106" s="209"/>
      <c r="H106" s="209"/>
      <c r="I106" s="209"/>
      <c r="J106" s="230"/>
      <c r="K106" s="91"/>
      <c r="L106" s="221"/>
      <c r="M106" s="204"/>
      <c r="N106" s="209"/>
      <c r="O106" s="213"/>
      <c r="P106" s="209"/>
      <c r="Q106" s="204"/>
      <c r="R106" s="209"/>
      <c r="S106" s="199"/>
    </row>
    <row r="107" spans="1:19" ht="18.75">
      <c r="A107" s="234"/>
      <c r="B107" s="84" t="s">
        <v>56</v>
      </c>
      <c r="C107" s="107" t="s">
        <v>112</v>
      </c>
      <c r="D107" s="240"/>
      <c r="E107" s="229"/>
      <c r="F107" s="231"/>
      <c r="G107" s="209"/>
      <c r="H107" s="209"/>
      <c r="I107" s="209"/>
      <c r="J107" s="230"/>
      <c r="K107" s="91"/>
      <c r="L107" s="221"/>
      <c r="M107" s="204"/>
      <c r="N107" s="209"/>
      <c r="O107" s="213"/>
      <c r="P107" s="209"/>
      <c r="Q107" s="204"/>
      <c r="R107" s="209"/>
      <c r="S107" s="199"/>
    </row>
    <row r="108" spans="1:19" ht="18.75">
      <c r="A108" s="234"/>
      <c r="B108" s="84" t="s">
        <v>58</v>
      </c>
      <c r="C108" s="107" t="s">
        <v>113</v>
      </c>
      <c r="D108" s="240"/>
      <c r="E108" s="229"/>
      <c r="F108" s="231"/>
      <c r="G108" s="209"/>
      <c r="H108" s="209"/>
      <c r="I108" s="209"/>
      <c r="J108" s="230"/>
      <c r="K108" s="91"/>
      <c r="L108" s="221"/>
      <c r="M108" s="204"/>
      <c r="N108" s="209"/>
      <c r="O108" s="213"/>
      <c r="P108" s="209"/>
      <c r="Q108" s="204"/>
      <c r="R108" s="209"/>
      <c r="S108" s="199"/>
    </row>
    <row r="109" spans="1:19" ht="18.75">
      <c r="A109" s="234"/>
      <c r="B109" s="84" t="s">
        <v>60</v>
      </c>
      <c r="C109" s="107" t="s">
        <v>61</v>
      </c>
      <c r="D109" s="240"/>
      <c r="E109" s="229"/>
      <c r="F109" s="231"/>
      <c r="G109" s="209"/>
      <c r="H109" s="209"/>
      <c r="I109" s="209"/>
      <c r="J109" s="230"/>
      <c r="K109" s="91"/>
      <c r="L109" s="221"/>
      <c r="M109" s="204"/>
      <c r="N109" s="209"/>
      <c r="O109" s="213"/>
      <c r="P109" s="209"/>
      <c r="Q109" s="204"/>
      <c r="R109" s="209"/>
      <c r="S109" s="199"/>
    </row>
    <row r="110" spans="1:19" ht="18.75">
      <c r="A110" s="234"/>
      <c r="B110" s="84" t="s">
        <v>62</v>
      </c>
      <c r="C110" s="107" t="s">
        <v>81</v>
      </c>
      <c r="D110" s="240"/>
      <c r="E110" s="229"/>
      <c r="F110" s="231"/>
      <c r="G110" s="209"/>
      <c r="H110" s="209"/>
      <c r="I110" s="209"/>
      <c r="J110" s="230"/>
      <c r="K110" s="91"/>
      <c r="L110" s="221"/>
      <c r="M110" s="204"/>
      <c r="N110" s="209"/>
      <c r="O110" s="213"/>
      <c r="P110" s="209"/>
      <c r="Q110" s="204"/>
      <c r="R110" s="209"/>
      <c r="S110" s="199"/>
    </row>
    <row r="111" spans="1:19" ht="18.75">
      <c r="A111" s="234"/>
      <c r="B111" s="84" t="s">
        <v>64</v>
      </c>
      <c r="C111" s="107" t="s">
        <v>114</v>
      </c>
      <c r="D111" s="240"/>
      <c r="E111" s="229"/>
      <c r="F111" s="231"/>
      <c r="G111" s="209"/>
      <c r="H111" s="209"/>
      <c r="I111" s="209"/>
      <c r="J111" s="230"/>
      <c r="K111" s="91"/>
      <c r="L111" s="221"/>
      <c r="M111" s="204"/>
      <c r="N111" s="209"/>
      <c r="O111" s="213"/>
      <c r="P111" s="209"/>
      <c r="Q111" s="204"/>
      <c r="R111" s="209"/>
      <c r="S111" s="199"/>
    </row>
    <row r="112" spans="1:19" ht="18.75">
      <c r="A112" s="234"/>
      <c r="B112" s="84" t="s">
        <v>66</v>
      </c>
      <c r="C112" s="107" t="s">
        <v>82</v>
      </c>
      <c r="D112" s="240"/>
      <c r="E112" s="229"/>
      <c r="F112" s="231"/>
      <c r="G112" s="209"/>
      <c r="H112" s="209"/>
      <c r="I112" s="209"/>
      <c r="J112" s="230"/>
      <c r="K112" s="91"/>
      <c r="L112" s="221"/>
      <c r="M112" s="204"/>
      <c r="N112" s="209"/>
      <c r="O112" s="213"/>
      <c r="P112" s="209"/>
      <c r="Q112" s="204"/>
      <c r="R112" s="209"/>
      <c r="S112" s="199"/>
    </row>
    <row r="113" spans="1:19" ht="18.75">
      <c r="A113" s="234"/>
      <c r="B113" s="84" t="s">
        <v>68</v>
      </c>
      <c r="C113" s="107" t="s">
        <v>69</v>
      </c>
      <c r="D113" s="240"/>
      <c r="E113" s="229"/>
      <c r="F113" s="231"/>
      <c r="G113" s="209"/>
      <c r="H113" s="209"/>
      <c r="I113" s="209"/>
      <c r="J113" s="230"/>
      <c r="K113" s="91"/>
      <c r="L113" s="221"/>
      <c r="M113" s="204"/>
      <c r="N113" s="209"/>
      <c r="O113" s="213"/>
      <c r="P113" s="209"/>
      <c r="Q113" s="204"/>
      <c r="R113" s="209"/>
      <c r="S113" s="199"/>
    </row>
    <row r="114" spans="1:19" ht="18.75">
      <c r="A114" s="234"/>
      <c r="B114" s="84" t="s">
        <v>70</v>
      </c>
      <c r="C114" s="107" t="s">
        <v>71</v>
      </c>
      <c r="D114" s="240"/>
      <c r="E114" s="229"/>
      <c r="F114" s="231"/>
      <c r="G114" s="209"/>
      <c r="H114" s="209"/>
      <c r="I114" s="209"/>
      <c r="J114" s="230"/>
      <c r="K114" s="91"/>
      <c r="L114" s="221"/>
      <c r="M114" s="204"/>
      <c r="N114" s="209"/>
      <c r="O114" s="213"/>
      <c r="P114" s="209"/>
      <c r="Q114" s="204"/>
      <c r="R114" s="209"/>
      <c r="S114" s="199"/>
    </row>
    <row r="115" spans="1:19" ht="18.75">
      <c r="A115" s="234"/>
      <c r="B115" s="84" t="s">
        <v>72</v>
      </c>
      <c r="C115" s="107" t="s">
        <v>83</v>
      </c>
      <c r="D115" s="240"/>
      <c r="E115" s="229"/>
      <c r="F115" s="231"/>
      <c r="G115" s="209"/>
      <c r="H115" s="209"/>
      <c r="I115" s="209"/>
      <c r="J115" s="230"/>
      <c r="K115" s="91"/>
      <c r="L115" s="221"/>
      <c r="M115" s="204"/>
      <c r="N115" s="209"/>
      <c r="O115" s="213"/>
      <c r="P115" s="209"/>
      <c r="Q115" s="204"/>
      <c r="R115" s="209"/>
      <c r="S115" s="199"/>
    </row>
    <row r="116" spans="1:19" ht="19.5" thickBot="1">
      <c r="A116" s="235"/>
      <c r="B116" s="87" t="s">
        <v>74</v>
      </c>
      <c r="C116" s="108" t="s">
        <v>75</v>
      </c>
      <c r="D116" s="240"/>
      <c r="E116" s="229"/>
      <c r="F116" s="231"/>
      <c r="G116" s="209"/>
      <c r="H116" s="209"/>
      <c r="I116" s="209"/>
      <c r="J116" s="230"/>
      <c r="K116" s="92"/>
      <c r="L116" s="222"/>
      <c r="M116" s="205"/>
      <c r="N116" s="210"/>
      <c r="O116" s="214"/>
      <c r="P116" s="210"/>
      <c r="Q116" s="205"/>
      <c r="R116" s="210"/>
      <c r="S116" s="200"/>
    </row>
    <row r="117" spans="1:19" s="78" customFormat="1" ht="14.25" customHeight="1">
      <c r="A117" s="239" t="s">
        <v>115</v>
      </c>
      <c r="B117" s="97" t="s">
        <v>48</v>
      </c>
      <c r="C117" s="111" t="s">
        <v>116</v>
      </c>
      <c r="D117" s="240">
        <v>57987.86</v>
      </c>
      <c r="E117" s="229">
        <v>16279</v>
      </c>
      <c r="F117" s="231">
        <f>E117/$F$2</f>
        <v>14799.090909090908</v>
      </c>
      <c r="G117" s="209">
        <v>17593.21</v>
      </c>
      <c r="H117" s="209">
        <v>18468.189999999999</v>
      </c>
      <c r="I117" s="209">
        <v>18468.57</v>
      </c>
      <c r="J117" s="230">
        <v>19927.12</v>
      </c>
      <c r="K117" s="90"/>
      <c r="L117" s="223">
        <f>G117-E117</f>
        <v>1314.2099999999991</v>
      </c>
      <c r="M117" s="215">
        <f>L117/$F$2</f>
        <v>1194.7363636363627</v>
      </c>
      <c r="N117" s="211">
        <f>H117-E117</f>
        <v>2189.1899999999987</v>
      </c>
      <c r="O117" s="217">
        <f>N117/$F$2</f>
        <v>1990.172727272726</v>
      </c>
      <c r="P117" s="211">
        <f>I117-E117</f>
        <v>2189.5699999999997</v>
      </c>
      <c r="Q117" s="215">
        <f>P117/$F$2</f>
        <v>1990.5181818181813</v>
      </c>
      <c r="R117" s="211">
        <f>J117-E117</f>
        <v>3648.119999999999</v>
      </c>
      <c r="S117" s="198">
        <f>R117/$F$2</f>
        <v>3316.4727272727259</v>
      </c>
    </row>
    <row r="118" spans="1:19" ht="18.75">
      <c r="A118" s="234"/>
      <c r="B118" s="84" t="s">
        <v>117</v>
      </c>
      <c r="C118" s="107" t="s">
        <v>118</v>
      </c>
      <c r="D118" s="240"/>
      <c r="E118" s="229"/>
      <c r="F118" s="231"/>
      <c r="G118" s="209"/>
      <c r="H118" s="209"/>
      <c r="I118" s="209"/>
      <c r="J118" s="230"/>
      <c r="K118" s="91"/>
      <c r="L118" s="221"/>
      <c r="M118" s="204"/>
      <c r="N118" s="209"/>
      <c r="O118" s="213"/>
      <c r="P118" s="209"/>
      <c r="Q118" s="204"/>
      <c r="R118" s="209"/>
      <c r="S118" s="199"/>
    </row>
    <row r="119" spans="1:19" ht="30">
      <c r="A119" s="234"/>
      <c r="B119" s="84" t="s">
        <v>52</v>
      </c>
      <c r="C119" s="107" t="s">
        <v>119</v>
      </c>
      <c r="D119" s="240"/>
      <c r="E119" s="229"/>
      <c r="F119" s="231"/>
      <c r="G119" s="209"/>
      <c r="H119" s="209"/>
      <c r="I119" s="209"/>
      <c r="J119" s="230"/>
      <c r="K119" s="91"/>
      <c r="L119" s="221"/>
      <c r="M119" s="204"/>
      <c r="N119" s="209"/>
      <c r="O119" s="213"/>
      <c r="P119" s="209"/>
      <c r="Q119" s="204"/>
      <c r="R119" s="209"/>
      <c r="S119" s="199"/>
    </row>
    <row r="120" spans="1:19" ht="18.75">
      <c r="A120" s="234"/>
      <c r="B120" s="84" t="s">
        <v>120</v>
      </c>
      <c r="C120" s="107" t="s">
        <v>121</v>
      </c>
      <c r="D120" s="240"/>
      <c r="E120" s="229"/>
      <c r="F120" s="231"/>
      <c r="G120" s="209"/>
      <c r="H120" s="209"/>
      <c r="I120" s="209"/>
      <c r="J120" s="230"/>
      <c r="K120" s="91"/>
      <c r="L120" s="221"/>
      <c r="M120" s="204"/>
      <c r="N120" s="209"/>
      <c r="O120" s="213"/>
      <c r="P120" s="209"/>
      <c r="Q120" s="204"/>
      <c r="R120" s="209"/>
      <c r="S120" s="199"/>
    </row>
    <row r="121" spans="1:19" ht="18.75">
      <c r="A121" s="234"/>
      <c r="B121" s="84" t="s">
        <v>54</v>
      </c>
      <c r="C121" s="107" t="s">
        <v>55</v>
      </c>
      <c r="D121" s="240"/>
      <c r="E121" s="229"/>
      <c r="F121" s="231"/>
      <c r="G121" s="209"/>
      <c r="H121" s="209"/>
      <c r="I121" s="209"/>
      <c r="J121" s="230"/>
      <c r="K121" s="91"/>
      <c r="L121" s="221"/>
      <c r="M121" s="204"/>
      <c r="N121" s="209"/>
      <c r="O121" s="213"/>
      <c r="P121" s="209"/>
      <c r="Q121" s="204"/>
      <c r="R121" s="209"/>
      <c r="S121" s="199"/>
    </row>
    <row r="122" spans="1:19" ht="18.75">
      <c r="A122" s="234"/>
      <c r="B122" s="84" t="s">
        <v>56</v>
      </c>
      <c r="C122" s="107" t="s">
        <v>122</v>
      </c>
      <c r="D122" s="240"/>
      <c r="E122" s="229"/>
      <c r="F122" s="231"/>
      <c r="G122" s="209"/>
      <c r="H122" s="209"/>
      <c r="I122" s="209"/>
      <c r="J122" s="230"/>
      <c r="K122" s="91"/>
      <c r="L122" s="221"/>
      <c r="M122" s="204"/>
      <c r="N122" s="209"/>
      <c r="O122" s="213"/>
      <c r="P122" s="209"/>
      <c r="Q122" s="204"/>
      <c r="R122" s="209"/>
      <c r="S122" s="199"/>
    </row>
    <row r="123" spans="1:19" ht="18.75">
      <c r="A123" s="234"/>
      <c r="B123" s="84" t="s">
        <v>58</v>
      </c>
      <c r="C123" s="107" t="s">
        <v>108</v>
      </c>
      <c r="D123" s="240"/>
      <c r="E123" s="229"/>
      <c r="F123" s="231"/>
      <c r="G123" s="209"/>
      <c r="H123" s="209"/>
      <c r="I123" s="209"/>
      <c r="J123" s="230"/>
      <c r="K123" s="91"/>
      <c r="L123" s="221"/>
      <c r="M123" s="204"/>
      <c r="N123" s="209"/>
      <c r="O123" s="213"/>
      <c r="P123" s="209"/>
      <c r="Q123" s="204"/>
      <c r="R123" s="209"/>
      <c r="S123" s="199"/>
    </row>
    <row r="124" spans="1:19" ht="18.75">
      <c r="A124" s="234"/>
      <c r="B124" s="84" t="s">
        <v>60</v>
      </c>
      <c r="C124" s="107" t="s">
        <v>123</v>
      </c>
      <c r="D124" s="240"/>
      <c r="E124" s="229"/>
      <c r="F124" s="231"/>
      <c r="G124" s="209"/>
      <c r="H124" s="209"/>
      <c r="I124" s="209"/>
      <c r="J124" s="230"/>
      <c r="K124" s="91"/>
      <c r="L124" s="221"/>
      <c r="M124" s="204"/>
      <c r="N124" s="209"/>
      <c r="O124" s="213"/>
      <c r="P124" s="209"/>
      <c r="Q124" s="204"/>
      <c r="R124" s="209"/>
      <c r="S124" s="199"/>
    </row>
    <row r="125" spans="1:19" ht="18.75">
      <c r="A125" s="234"/>
      <c r="B125" s="84" t="s">
        <v>124</v>
      </c>
      <c r="C125" s="107" t="s">
        <v>125</v>
      </c>
      <c r="D125" s="240"/>
      <c r="E125" s="229"/>
      <c r="F125" s="231"/>
      <c r="G125" s="209"/>
      <c r="H125" s="209"/>
      <c r="I125" s="209"/>
      <c r="J125" s="230"/>
      <c r="K125" s="91"/>
      <c r="L125" s="221"/>
      <c r="M125" s="204"/>
      <c r="N125" s="209"/>
      <c r="O125" s="213"/>
      <c r="P125" s="209"/>
      <c r="Q125" s="204"/>
      <c r="R125" s="209"/>
      <c r="S125" s="199"/>
    </row>
    <row r="126" spans="1:19" ht="18.75">
      <c r="A126" s="234"/>
      <c r="B126" s="86" t="s">
        <v>62</v>
      </c>
      <c r="C126" s="112" t="s">
        <v>126</v>
      </c>
      <c r="D126" s="240"/>
      <c r="E126" s="229"/>
      <c r="F126" s="231"/>
      <c r="G126" s="209"/>
      <c r="H126" s="209"/>
      <c r="I126" s="209"/>
      <c r="J126" s="230"/>
      <c r="K126" s="91"/>
      <c r="L126" s="221"/>
      <c r="M126" s="204"/>
      <c r="N126" s="209"/>
      <c r="O126" s="213"/>
      <c r="P126" s="209"/>
      <c r="Q126" s="204"/>
      <c r="R126" s="209"/>
      <c r="S126" s="199"/>
    </row>
    <row r="127" spans="1:19" ht="18.75">
      <c r="A127" s="234"/>
      <c r="B127" s="84" t="s">
        <v>66</v>
      </c>
      <c r="C127" s="107" t="s">
        <v>67</v>
      </c>
      <c r="D127" s="240"/>
      <c r="E127" s="229"/>
      <c r="F127" s="231"/>
      <c r="G127" s="209"/>
      <c r="H127" s="209"/>
      <c r="I127" s="209"/>
      <c r="J127" s="230"/>
      <c r="K127" s="91"/>
      <c r="L127" s="221"/>
      <c r="M127" s="204"/>
      <c r="N127" s="209"/>
      <c r="O127" s="213"/>
      <c r="P127" s="209"/>
      <c r="Q127" s="204"/>
      <c r="R127" s="209"/>
      <c r="S127" s="199"/>
    </row>
    <row r="128" spans="1:19" ht="18.75">
      <c r="A128" s="234"/>
      <c r="B128" s="84" t="s">
        <v>68</v>
      </c>
      <c r="C128" s="107" t="s">
        <v>69</v>
      </c>
      <c r="D128" s="240"/>
      <c r="E128" s="229"/>
      <c r="F128" s="231"/>
      <c r="G128" s="209"/>
      <c r="H128" s="209"/>
      <c r="I128" s="209"/>
      <c r="J128" s="230"/>
      <c r="K128" s="91"/>
      <c r="L128" s="221"/>
      <c r="M128" s="204"/>
      <c r="N128" s="209"/>
      <c r="O128" s="213"/>
      <c r="P128" s="209"/>
      <c r="Q128" s="204"/>
      <c r="R128" s="209"/>
      <c r="S128" s="199"/>
    </row>
    <row r="129" spans="1:19" ht="18.75">
      <c r="A129" s="234"/>
      <c r="B129" s="84" t="s">
        <v>70</v>
      </c>
      <c r="C129" s="107" t="s">
        <v>71</v>
      </c>
      <c r="D129" s="240"/>
      <c r="E129" s="229"/>
      <c r="F129" s="231"/>
      <c r="G129" s="209"/>
      <c r="H129" s="209"/>
      <c r="I129" s="209"/>
      <c r="J129" s="230"/>
      <c r="K129" s="91"/>
      <c r="L129" s="221"/>
      <c r="M129" s="204"/>
      <c r="N129" s="209"/>
      <c r="O129" s="213"/>
      <c r="P129" s="209"/>
      <c r="Q129" s="204"/>
      <c r="R129" s="209"/>
      <c r="S129" s="199"/>
    </row>
    <row r="130" spans="1:19" ht="18.75">
      <c r="A130" s="234"/>
      <c r="B130" s="84" t="s">
        <v>127</v>
      </c>
      <c r="C130" s="107" t="s">
        <v>128</v>
      </c>
      <c r="D130" s="240"/>
      <c r="E130" s="229"/>
      <c r="F130" s="231"/>
      <c r="G130" s="209"/>
      <c r="H130" s="209"/>
      <c r="I130" s="209"/>
      <c r="J130" s="230"/>
      <c r="K130" s="91"/>
      <c r="L130" s="221"/>
      <c r="M130" s="204"/>
      <c r="N130" s="209"/>
      <c r="O130" s="213"/>
      <c r="P130" s="209"/>
      <c r="Q130" s="204"/>
      <c r="R130" s="209"/>
      <c r="S130" s="199"/>
    </row>
    <row r="131" spans="1:19" ht="19.5" thickBot="1">
      <c r="A131" s="242"/>
      <c r="B131" s="96" t="s">
        <v>74</v>
      </c>
      <c r="C131" s="109" t="s">
        <v>75</v>
      </c>
      <c r="D131" s="240"/>
      <c r="E131" s="229"/>
      <c r="F131" s="231"/>
      <c r="G131" s="209"/>
      <c r="H131" s="209"/>
      <c r="I131" s="209"/>
      <c r="J131" s="230"/>
      <c r="K131" s="91"/>
      <c r="L131" s="224"/>
      <c r="M131" s="216"/>
      <c r="N131" s="225"/>
      <c r="O131" s="218"/>
      <c r="P131" s="225"/>
      <c r="Q131" s="216"/>
      <c r="R131" s="225"/>
      <c r="S131" s="201"/>
    </row>
    <row r="132" spans="1:19" ht="18.75">
      <c r="A132" s="239" t="s">
        <v>129</v>
      </c>
      <c r="B132" s="89" t="s">
        <v>48</v>
      </c>
      <c r="C132" s="106" t="s">
        <v>130</v>
      </c>
      <c r="D132" s="240">
        <v>117223.50299615999</v>
      </c>
      <c r="E132" s="229">
        <v>33414</v>
      </c>
      <c r="F132" s="231">
        <f>E132/$F$2</f>
        <v>30376.363636363632</v>
      </c>
      <c r="G132" s="209">
        <v>36167.69</v>
      </c>
      <c r="H132" s="209">
        <v>38001.040000000001</v>
      </c>
      <c r="I132" s="209">
        <v>38001.83</v>
      </c>
      <c r="J132" s="230">
        <v>41057.93</v>
      </c>
      <c r="K132" s="90"/>
      <c r="L132" s="223">
        <f>G132-E132</f>
        <v>2753.6900000000023</v>
      </c>
      <c r="M132" s="215">
        <f>L132/$F$2</f>
        <v>2503.3545454545474</v>
      </c>
      <c r="N132" s="211">
        <f>H132-E132</f>
        <v>4587.0400000000009</v>
      </c>
      <c r="O132" s="217">
        <f>N132/$F$2</f>
        <v>4170.0363636363645</v>
      </c>
      <c r="P132" s="211">
        <f>I132-E132</f>
        <v>4587.8300000000017</v>
      </c>
      <c r="Q132" s="215">
        <f>P132/$F$2</f>
        <v>4170.754545454547</v>
      </c>
      <c r="R132" s="211">
        <f>J132-E132</f>
        <v>7643.93</v>
      </c>
      <c r="S132" s="198">
        <f>R132/$F$2</f>
        <v>6949.0272727272722</v>
      </c>
    </row>
    <row r="133" spans="1:19" ht="18.75">
      <c r="A133" s="234"/>
      <c r="B133" s="84" t="s">
        <v>117</v>
      </c>
      <c r="C133" s="107" t="s">
        <v>118</v>
      </c>
      <c r="D133" s="240"/>
      <c r="E133" s="229"/>
      <c r="F133" s="231"/>
      <c r="G133" s="209"/>
      <c r="H133" s="209"/>
      <c r="I133" s="209"/>
      <c r="J133" s="230"/>
      <c r="K133" s="91"/>
      <c r="L133" s="221"/>
      <c r="M133" s="204"/>
      <c r="N133" s="209"/>
      <c r="O133" s="213"/>
      <c r="P133" s="209"/>
      <c r="Q133" s="204"/>
      <c r="R133" s="209"/>
      <c r="S133" s="199"/>
    </row>
    <row r="134" spans="1:19" ht="30">
      <c r="A134" s="234"/>
      <c r="B134" s="84" t="s">
        <v>52</v>
      </c>
      <c r="C134" s="107" t="s">
        <v>119</v>
      </c>
      <c r="D134" s="240"/>
      <c r="E134" s="229"/>
      <c r="F134" s="231"/>
      <c r="G134" s="209"/>
      <c r="H134" s="209"/>
      <c r="I134" s="209"/>
      <c r="J134" s="230"/>
      <c r="K134" s="91"/>
      <c r="L134" s="221"/>
      <c r="M134" s="204"/>
      <c r="N134" s="209"/>
      <c r="O134" s="213"/>
      <c r="P134" s="209"/>
      <c r="Q134" s="204"/>
      <c r="R134" s="209"/>
      <c r="S134" s="199"/>
    </row>
    <row r="135" spans="1:19" ht="18.75">
      <c r="A135" s="234"/>
      <c r="B135" s="84" t="s">
        <v>120</v>
      </c>
      <c r="C135" s="107" t="s">
        <v>121</v>
      </c>
      <c r="D135" s="240"/>
      <c r="E135" s="229"/>
      <c r="F135" s="231"/>
      <c r="G135" s="209"/>
      <c r="H135" s="209"/>
      <c r="I135" s="209"/>
      <c r="J135" s="230"/>
      <c r="K135" s="91"/>
      <c r="L135" s="221"/>
      <c r="M135" s="204"/>
      <c r="N135" s="209"/>
      <c r="O135" s="213"/>
      <c r="P135" s="209"/>
      <c r="Q135" s="204"/>
      <c r="R135" s="209"/>
      <c r="S135" s="199"/>
    </row>
    <row r="136" spans="1:19" ht="18.75">
      <c r="A136" s="234"/>
      <c r="B136" s="84" t="s">
        <v>54</v>
      </c>
      <c r="C136" s="107" t="s">
        <v>55</v>
      </c>
      <c r="D136" s="240"/>
      <c r="E136" s="229"/>
      <c r="F136" s="231"/>
      <c r="G136" s="209"/>
      <c r="H136" s="209"/>
      <c r="I136" s="209"/>
      <c r="J136" s="230"/>
      <c r="K136" s="91"/>
      <c r="L136" s="221"/>
      <c r="M136" s="204"/>
      <c r="N136" s="209"/>
      <c r="O136" s="213"/>
      <c r="P136" s="209"/>
      <c r="Q136" s="204"/>
      <c r="R136" s="209"/>
      <c r="S136" s="199"/>
    </row>
    <row r="137" spans="1:19" ht="18.75">
      <c r="A137" s="234"/>
      <c r="B137" s="84" t="s">
        <v>56</v>
      </c>
      <c r="C137" s="107" t="s">
        <v>107</v>
      </c>
      <c r="D137" s="240"/>
      <c r="E137" s="229"/>
      <c r="F137" s="231"/>
      <c r="G137" s="209"/>
      <c r="H137" s="209"/>
      <c r="I137" s="209"/>
      <c r="J137" s="230"/>
      <c r="K137" s="91"/>
      <c r="L137" s="221"/>
      <c r="M137" s="204"/>
      <c r="N137" s="209"/>
      <c r="O137" s="213"/>
      <c r="P137" s="209"/>
      <c r="Q137" s="204"/>
      <c r="R137" s="209"/>
      <c r="S137" s="199"/>
    </row>
    <row r="138" spans="1:19" ht="18.75">
      <c r="A138" s="234"/>
      <c r="B138" s="84" t="s">
        <v>58</v>
      </c>
      <c r="C138" s="107" t="s">
        <v>113</v>
      </c>
      <c r="D138" s="240"/>
      <c r="E138" s="229"/>
      <c r="F138" s="231"/>
      <c r="G138" s="209"/>
      <c r="H138" s="209"/>
      <c r="I138" s="209"/>
      <c r="J138" s="230"/>
      <c r="K138" s="91"/>
      <c r="L138" s="221"/>
      <c r="M138" s="204"/>
      <c r="N138" s="209"/>
      <c r="O138" s="213"/>
      <c r="P138" s="209"/>
      <c r="Q138" s="204"/>
      <c r="R138" s="209"/>
      <c r="S138" s="199"/>
    </row>
    <row r="139" spans="1:19" ht="18.75">
      <c r="A139" s="234"/>
      <c r="B139" s="84" t="s">
        <v>60</v>
      </c>
      <c r="C139" s="107" t="s">
        <v>123</v>
      </c>
      <c r="D139" s="240"/>
      <c r="E139" s="229"/>
      <c r="F139" s="231"/>
      <c r="G139" s="209"/>
      <c r="H139" s="209"/>
      <c r="I139" s="209"/>
      <c r="J139" s="230"/>
      <c r="K139" s="91"/>
      <c r="L139" s="221"/>
      <c r="M139" s="204"/>
      <c r="N139" s="209"/>
      <c r="O139" s="213"/>
      <c r="P139" s="209"/>
      <c r="Q139" s="204"/>
      <c r="R139" s="209"/>
      <c r="S139" s="199"/>
    </row>
    <row r="140" spans="1:19" ht="18.75">
      <c r="A140" s="234"/>
      <c r="B140" s="84" t="s">
        <v>124</v>
      </c>
      <c r="C140" s="107" t="s">
        <v>125</v>
      </c>
      <c r="D140" s="240"/>
      <c r="E140" s="229"/>
      <c r="F140" s="231"/>
      <c r="G140" s="209"/>
      <c r="H140" s="209"/>
      <c r="I140" s="209"/>
      <c r="J140" s="230"/>
      <c r="K140" s="91"/>
      <c r="L140" s="221"/>
      <c r="M140" s="204"/>
      <c r="N140" s="209"/>
      <c r="O140" s="213"/>
      <c r="P140" s="209"/>
      <c r="Q140" s="204"/>
      <c r="R140" s="209"/>
      <c r="S140" s="199"/>
    </row>
    <row r="141" spans="1:19" ht="18.75">
      <c r="A141" s="234"/>
      <c r="B141" s="84" t="s">
        <v>62</v>
      </c>
      <c r="C141" s="107" t="s">
        <v>131</v>
      </c>
      <c r="D141" s="240"/>
      <c r="E141" s="229"/>
      <c r="F141" s="231"/>
      <c r="G141" s="209"/>
      <c r="H141" s="209"/>
      <c r="I141" s="209"/>
      <c r="J141" s="230"/>
      <c r="K141" s="91"/>
      <c r="L141" s="221"/>
      <c r="M141" s="204"/>
      <c r="N141" s="209"/>
      <c r="O141" s="213"/>
      <c r="P141" s="209"/>
      <c r="Q141" s="204"/>
      <c r="R141" s="209"/>
      <c r="S141" s="199"/>
    </row>
    <row r="142" spans="1:19" ht="18.75">
      <c r="A142" s="234"/>
      <c r="B142" s="84" t="s">
        <v>66</v>
      </c>
      <c r="C142" s="107" t="s">
        <v>67</v>
      </c>
      <c r="D142" s="240"/>
      <c r="E142" s="229"/>
      <c r="F142" s="231"/>
      <c r="G142" s="209"/>
      <c r="H142" s="209"/>
      <c r="I142" s="209"/>
      <c r="J142" s="230"/>
      <c r="K142" s="91"/>
      <c r="L142" s="221"/>
      <c r="M142" s="204"/>
      <c r="N142" s="209"/>
      <c r="O142" s="213"/>
      <c r="P142" s="209"/>
      <c r="Q142" s="204"/>
      <c r="R142" s="209"/>
      <c r="S142" s="199"/>
    </row>
    <row r="143" spans="1:19" ht="18.75">
      <c r="A143" s="234"/>
      <c r="B143" s="84" t="s">
        <v>68</v>
      </c>
      <c r="C143" s="107" t="s">
        <v>69</v>
      </c>
      <c r="D143" s="240"/>
      <c r="E143" s="229"/>
      <c r="F143" s="231"/>
      <c r="G143" s="209"/>
      <c r="H143" s="209"/>
      <c r="I143" s="209"/>
      <c r="J143" s="230"/>
      <c r="K143" s="91"/>
      <c r="L143" s="221"/>
      <c r="M143" s="204"/>
      <c r="N143" s="209"/>
      <c r="O143" s="213"/>
      <c r="P143" s="209"/>
      <c r="Q143" s="204"/>
      <c r="R143" s="209"/>
      <c r="S143" s="199"/>
    </row>
    <row r="144" spans="1:19" ht="18.75">
      <c r="A144" s="234"/>
      <c r="B144" s="84" t="s">
        <v>70</v>
      </c>
      <c r="C144" s="107" t="s">
        <v>71</v>
      </c>
      <c r="D144" s="240"/>
      <c r="E144" s="229"/>
      <c r="F144" s="231"/>
      <c r="G144" s="209"/>
      <c r="H144" s="209"/>
      <c r="I144" s="209"/>
      <c r="J144" s="230"/>
      <c r="K144" s="91"/>
      <c r="L144" s="221"/>
      <c r="M144" s="204"/>
      <c r="N144" s="209"/>
      <c r="O144" s="213"/>
      <c r="P144" s="209"/>
      <c r="Q144" s="204"/>
      <c r="R144" s="209"/>
      <c r="S144" s="199"/>
    </row>
    <row r="145" spans="1:19" ht="18.75">
      <c r="A145" s="234"/>
      <c r="B145" s="84" t="s">
        <v>72</v>
      </c>
      <c r="C145" s="107" t="s">
        <v>132</v>
      </c>
      <c r="D145" s="240"/>
      <c r="E145" s="229"/>
      <c r="F145" s="231"/>
      <c r="G145" s="209"/>
      <c r="H145" s="209"/>
      <c r="I145" s="209"/>
      <c r="J145" s="230"/>
      <c r="K145" s="91"/>
      <c r="L145" s="221"/>
      <c r="M145" s="204"/>
      <c r="N145" s="209"/>
      <c r="O145" s="213"/>
      <c r="P145" s="209"/>
      <c r="Q145" s="204"/>
      <c r="R145" s="209"/>
      <c r="S145" s="199"/>
    </row>
    <row r="146" spans="1:19" ht="19.5" thickBot="1">
      <c r="A146" s="235"/>
      <c r="B146" s="87" t="s">
        <v>74</v>
      </c>
      <c r="C146" s="108" t="s">
        <v>75</v>
      </c>
      <c r="D146" s="240"/>
      <c r="E146" s="229"/>
      <c r="F146" s="231"/>
      <c r="G146" s="209"/>
      <c r="H146" s="209"/>
      <c r="I146" s="209"/>
      <c r="J146" s="230"/>
      <c r="K146" s="92"/>
      <c r="L146" s="222"/>
      <c r="M146" s="205"/>
      <c r="N146" s="210"/>
      <c r="O146" s="214"/>
      <c r="P146" s="210"/>
      <c r="Q146" s="205"/>
      <c r="R146" s="210"/>
      <c r="S146" s="200"/>
    </row>
    <row r="147" spans="1:19" ht="18.75">
      <c r="A147" s="239" t="s">
        <v>133</v>
      </c>
      <c r="B147" s="89" t="s">
        <v>48</v>
      </c>
      <c r="C147" s="106" t="s">
        <v>134</v>
      </c>
      <c r="D147" s="240">
        <v>48238.711614719999</v>
      </c>
      <c r="E147" s="229">
        <v>13272.93</v>
      </c>
      <c r="F147" s="231">
        <f>E147/$F$2</f>
        <v>12066.3</v>
      </c>
      <c r="G147" s="209">
        <v>14243</v>
      </c>
      <c r="H147" s="209">
        <v>15020.21</v>
      </c>
      <c r="I147" s="209">
        <v>14890.78</v>
      </c>
      <c r="J147" s="230">
        <v>16185.06</v>
      </c>
      <c r="K147" s="90"/>
      <c r="L147" s="223">
        <f>G147-E147</f>
        <v>970.06999999999971</v>
      </c>
      <c r="M147" s="215">
        <f>L147/$F$2</f>
        <v>881.88181818181783</v>
      </c>
      <c r="N147" s="211">
        <f>H147-E147</f>
        <v>1747.2799999999988</v>
      </c>
      <c r="O147" s="217">
        <f>N147/$F$2</f>
        <v>1588.4363636363626</v>
      </c>
      <c r="P147" s="211">
        <f>I147-E147</f>
        <v>1617.8500000000004</v>
      </c>
      <c r="Q147" s="215">
        <f>P147/$F$2</f>
        <v>1470.7727272727275</v>
      </c>
      <c r="R147" s="211">
        <f>J147-E147</f>
        <v>2912.1299999999992</v>
      </c>
      <c r="S147" s="198">
        <f>R147/$F$2</f>
        <v>2647.3909090909083</v>
      </c>
    </row>
    <row r="148" spans="1:19" ht="18.75">
      <c r="A148" s="234"/>
      <c r="B148" s="84" t="s">
        <v>117</v>
      </c>
      <c r="C148" s="107" t="s">
        <v>135</v>
      </c>
      <c r="D148" s="240"/>
      <c r="E148" s="229"/>
      <c r="F148" s="231"/>
      <c r="G148" s="209"/>
      <c r="H148" s="209"/>
      <c r="I148" s="209"/>
      <c r="J148" s="230"/>
      <c r="K148" s="91"/>
      <c r="L148" s="221"/>
      <c r="M148" s="204"/>
      <c r="N148" s="209"/>
      <c r="O148" s="213"/>
      <c r="P148" s="209"/>
      <c r="Q148" s="204"/>
      <c r="R148" s="209"/>
      <c r="S148" s="199"/>
    </row>
    <row r="149" spans="1:19" ht="30">
      <c r="A149" s="234"/>
      <c r="B149" s="84" t="s">
        <v>52</v>
      </c>
      <c r="C149" s="107" t="s">
        <v>119</v>
      </c>
      <c r="D149" s="240"/>
      <c r="E149" s="229"/>
      <c r="F149" s="231"/>
      <c r="G149" s="209"/>
      <c r="H149" s="209"/>
      <c r="I149" s="209"/>
      <c r="J149" s="230"/>
      <c r="K149" s="91"/>
      <c r="L149" s="221"/>
      <c r="M149" s="204"/>
      <c r="N149" s="209"/>
      <c r="O149" s="213"/>
      <c r="P149" s="209"/>
      <c r="Q149" s="204"/>
      <c r="R149" s="209"/>
      <c r="S149" s="199"/>
    </row>
    <row r="150" spans="1:19" ht="18.75">
      <c r="A150" s="234"/>
      <c r="B150" s="84" t="s">
        <v>120</v>
      </c>
      <c r="C150" s="107" t="s">
        <v>121</v>
      </c>
      <c r="D150" s="240"/>
      <c r="E150" s="229"/>
      <c r="F150" s="231"/>
      <c r="G150" s="209"/>
      <c r="H150" s="209"/>
      <c r="I150" s="209"/>
      <c r="J150" s="230"/>
      <c r="K150" s="91"/>
      <c r="L150" s="221"/>
      <c r="M150" s="204"/>
      <c r="N150" s="209"/>
      <c r="O150" s="213"/>
      <c r="P150" s="209"/>
      <c r="Q150" s="204"/>
      <c r="R150" s="209"/>
      <c r="S150" s="199"/>
    </row>
    <row r="151" spans="1:19" ht="18.75">
      <c r="A151" s="234"/>
      <c r="B151" s="84" t="s">
        <v>54</v>
      </c>
      <c r="C151" s="107" t="s">
        <v>55</v>
      </c>
      <c r="D151" s="240"/>
      <c r="E151" s="229"/>
      <c r="F151" s="231"/>
      <c r="G151" s="209"/>
      <c r="H151" s="209"/>
      <c r="I151" s="209"/>
      <c r="J151" s="230"/>
      <c r="K151" s="91"/>
      <c r="L151" s="221"/>
      <c r="M151" s="204"/>
      <c r="N151" s="209"/>
      <c r="O151" s="213"/>
      <c r="P151" s="209"/>
      <c r="Q151" s="204"/>
      <c r="R151" s="209"/>
      <c r="S151" s="199"/>
    </row>
    <row r="152" spans="1:19" ht="18.75">
      <c r="A152" s="234"/>
      <c r="B152" s="84" t="s">
        <v>56</v>
      </c>
      <c r="C152" s="107" t="s">
        <v>136</v>
      </c>
      <c r="D152" s="240"/>
      <c r="E152" s="229"/>
      <c r="F152" s="231"/>
      <c r="G152" s="209"/>
      <c r="H152" s="209"/>
      <c r="I152" s="209"/>
      <c r="J152" s="230"/>
      <c r="K152" s="91"/>
      <c r="L152" s="221"/>
      <c r="M152" s="204"/>
      <c r="N152" s="209"/>
      <c r="O152" s="213"/>
      <c r="P152" s="209"/>
      <c r="Q152" s="204"/>
      <c r="R152" s="209"/>
      <c r="S152" s="199"/>
    </row>
    <row r="153" spans="1:19" ht="18.75">
      <c r="A153" s="234"/>
      <c r="B153" s="84" t="s">
        <v>58</v>
      </c>
      <c r="C153" s="107" t="s">
        <v>137</v>
      </c>
      <c r="D153" s="240"/>
      <c r="E153" s="229"/>
      <c r="F153" s="231"/>
      <c r="G153" s="209"/>
      <c r="H153" s="209"/>
      <c r="I153" s="209"/>
      <c r="J153" s="230"/>
      <c r="K153" s="91"/>
      <c r="L153" s="221"/>
      <c r="M153" s="204"/>
      <c r="N153" s="209"/>
      <c r="O153" s="213"/>
      <c r="P153" s="209"/>
      <c r="Q153" s="204"/>
      <c r="R153" s="209"/>
      <c r="S153" s="199"/>
    </row>
    <row r="154" spans="1:19" ht="18.75">
      <c r="A154" s="234"/>
      <c r="B154" s="84" t="s">
        <v>60</v>
      </c>
      <c r="C154" s="107" t="s">
        <v>123</v>
      </c>
      <c r="D154" s="240"/>
      <c r="E154" s="229"/>
      <c r="F154" s="231"/>
      <c r="G154" s="209"/>
      <c r="H154" s="209"/>
      <c r="I154" s="209"/>
      <c r="J154" s="230"/>
      <c r="K154" s="91"/>
      <c r="L154" s="221"/>
      <c r="M154" s="204"/>
      <c r="N154" s="209"/>
      <c r="O154" s="213"/>
      <c r="P154" s="209"/>
      <c r="Q154" s="204"/>
      <c r="R154" s="209"/>
      <c r="S154" s="199"/>
    </row>
    <row r="155" spans="1:19" ht="18.75">
      <c r="A155" s="234"/>
      <c r="B155" s="84" t="s">
        <v>124</v>
      </c>
      <c r="C155" s="107" t="s">
        <v>125</v>
      </c>
      <c r="D155" s="240"/>
      <c r="E155" s="229"/>
      <c r="F155" s="231"/>
      <c r="G155" s="209"/>
      <c r="H155" s="209"/>
      <c r="I155" s="209"/>
      <c r="J155" s="230"/>
      <c r="K155" s="91"/>
      <c r="L155" s="221"/>
      <c r="M155" s="204"/>
      <c r="N155" s="209"/>
      <c r="O155" s="213"/>
      <c r="P155" s="209"/>
      <c r="Q155" s="204"/>
      <c r="R155" s="209"/>
      <c r="S155" s="199"/>
    </row>
    <row r="156" spans="1:19" ht="18.75">
      <c r="A156" s="234"/>
      <c r="B156" s="84" t="s">
        <v>62</v>
      </c>
      <c r="C156" s="107" t="s">
        <v>126</v>
      </c>
      <c r="D156" s="240"/>
      <c r="E156" s="229"/>
      <c r="F156" s="231"/>
      <c r="G156" s="209"/>
      <c r="H156" s="209"/>
      <c r="I156" s="209"/>
      <c r="J156" s="230"/>
      <c r="K156" s="91"/>
      <c r="L156" s="221"/>
      <c r="M156" s="204"/>
      <c r="N156" s="209"/>
      <c r="O156" s="213"/>
      <c r="P156" s="209"/>
      <c r="Q156" s="204"/>
      <c r="R156" s="209"/>
      <c r="S156" s="199"/>
    </row>
    <row r="157" spans="1:19" ht="18.75">
      <c r="A157" s="234"/>
      <c r="B157" s="84" t="s">
        <v>66</v>
      </c>
      <c r="C157" s="107" t="s">
        <v>67</v>
      </c>
      <c r="D157" s="240"/>
      <c r="E157" s="229"/>
      <c r="F157" s="231"/>
      <c r="G157" s="209"/>
      <c r="H157" s="209"/>
      <c r="I157" s="209"/>
      <c r="J157" s="230"/>
      <c r="K157" s="91"/>
      <c r="L157" s="221"/>
      <c r="M157" s="204"/>
      <c r="N157" s="209"/>
      <c r="O157" s="213"/>
      <c r="P157" s="209"/>
      <c r="Q157" s="204"/>
      <c r="R157" s="209"/>
      <c r="S157" s="199"/>
    </row>
    <row r="158" spans="1:19" ht="18.75">
      <c r="A158" s="234"/>
      <c r="B158" s="84" t="s">
        <v>68</v>
      </c>
      <c r="C158" s="107" t="s">
        <v>69</v>
      </c>
      <c r="D158" s="240"/>
      <c r="E158" s="229"/>
      <c r="F158" s="231"/>
      <c r="G158" s="209"/>
      <c r="H158" s="209"/>
      <c r="I158" s="209"/>
      <c r="J158" s="230"/>
      <c r="K158" s="91"/>
      <c r="L158" s="221"/>
      <c r="M158" s="204"/>
      <c r="N158" s="209"/>
      <c r="O158" s="213"/>
      <c r="P158" s="209"/>
      <c r="Q158" s="204"/>
      <c r="R158" s="209"/>
      <c r="S158" s="199"/>
    </row>
    <row r="159" spans="1:19" ht="18.75">
      <c r="A159" s="234"/>
      <c r="B159" s="84" t="s">
        <v>70</v>
      </c>
      <c r="C159" s="107" t="s">
        <v>71</v>
      </c>
      <c r="D159" s="240"/>
      <c r="E159" s="229"/>
      <c r="F159" s="231"/>
      <c r="G159" s="209"/>
      <c r="H159" s="209"/>
      <c r="I159" s="209"/>
      <c r="J159" s="230"/>
      <c r="K159" s="91"/>
      <c r="L159" s="221"/>
      <c r="M159" s="204"/>
      <c r="N159" s="209"/>
      <c r="O159" s="213"/>
      <c r="P159" s="209"/>
      <c r="Q159" s="204"/>
      <c r="R159" s="209"/>
      <c r="S159" s="199"/>
    </row>
    <row r="160" spans="1:19" ht="18.75">
      <c r="A160" s="234"/>
      <c r="B160" s="84" t="s">
        <v>127</v>
      </c>
      <c r="C160" s="107" t="s">
        <v>138</v>
      </c>
      <c r="D160" s="240"/>
      <c r="E160" s="229"/>
      <c r="F160" s="231"/>
      <c r="G160" s="209"/>
      <c r="H160" s="209"/>
      <c r="I160" s="209"/>
      <c r="J160" s="230"/>
      <c r="K160" s="91"/>
      <c r="L160" s="221"/>
      <c r="M160" s="204"/>
      <c r="N160" s="209"/>
      <c r="O160" s="213"/>
      <c r="P160" s="209"/>
      <c r="Q160" s="204"/>
      <c r="R160" s="209"/>
      <c r="S160" s="199"/>
    </row>
    <row r="161" spans="1:19" ht="19.5" thickBot="1">
      <c r="A161" s="242"/>
      <c r="B161" s="96" t="s">
        <v>74</v>
      </c>
      <c r="C161" s="109" t="s">
        <v>75</v>
      </c>
      <c r="D161" s="240"/>
      <c r="E161" s="229"/>
      <c r="F161" s="231"/>
      <c r="G161" s="209"/>
      <c r="H161" s="209"/>
      <c r="I161" s="209"/>
      <c r="J161" s="230"/>
      <c r="K161" s="91"/>
      <c r="L161" s="224"/>
      <c r="M161" s="216"/>
      <c r="N161" s="225"/>
      <c r="O161" s="218"/>
      <c r="P161" s="225"/>
      <c r="Q161" s="216"/>
      <c r="R161" s="225"/>
      <c r="S161" s="201"/>
    </row>
    <row r="162" spans="1:19" ht="18.75">
      <c r="A162" s="239" t="s">
        <v>139</v>
      </c>
      <c r="B162" s="89" t="s">
        <v>48</v>
      </c>
      <c r="C162" s="106" t="s">
        <v>140</v>
      </c>
      <c r="D162" s="240">
        <v>133505.89241472</v>
      </c>
      <c r="E162" s="232">
        <v>37819</v>
      </c>
      <c r="F162" s="231">
        <f>E162/$F$2</f>
        <v>34380.909090909088</v>
      </c>
      <c r="G162" s="246">
        <v>39976</v>
      </c>
      <c r="H162" s="209">
        <v>42917.95</v>
      </c>
      <c r="I162" s="209">
        <v>45371.49</v>
      </c>
      <c r="J162" s="230">
        <v>51410.98</v>
      </c>
      <c r="K162" s="90"/>
      <c r="L162" s="223">
        <f>G162-E162</f>
        <v>2157</v>
      </c>
      <c r="M162" s="215">
        <f>L162/$F$2</f>
        <v>1960.9090909090908</v>
      </c>
      <c r="N162" s="211">
        <f>H162-E162</f>
        <v>5098.9499999999971</v>
      </c>
      <c r="O162" s="217">
        <f>N162/$F$2</f>
        <v>4635.4090909090883</v>
      </c>
      <c r="P162" s="211">
        <f>I162-E162</f>
        <v>7552.489999999998</v>
      </c>
      <c r="Q162" s="215">
        <f>P162/$F$2</f>
        <v>6865.8999999999978</v>
      </c>
      <c r="R162" s="211">
        <f>J162-E162</f>
        <v>13591.980000000003</v>
      </c>
      <c r="S162" s="198">
        <f>R162/$F$2</f>
        <v>12356.345454545457</v>
      </c>
    </row>
    <row r="163" spans="1:19" ht="18.75">
      <c r="A163" s="234"/>
      <c r="B163" s="84" t="s">
        <v>117</v>
      </c>
      <c r="C163" s="107" t="s">
        <v>135</v>
      </c>
      <c r="D163" s="240"/>
      <c r="E163" s="232"/>
      <c r="F163" s="231"/>
      <c r="G163" s="246"/>
      <c r="H163" s="209"/>
      <c r="I163" s="209"/>
      <c r="J163" s="230"/>
      <c r="K163" s="91"/>
      <c r="L163" s="221"/>
      <c r="M163" s="204"/>
      <c r="N163" s="209"/>
      <c r="O163" s="213"/>
      <c r="P163" s="209"/>
      <c r="Q163" s="204"/>
      <c r="R163" s="209"/>
      <c r="S163" s="199"/>
    </row>
    <row r="164" spans="1:19" ht="30">
      <c r="A164" s="234"/>
      <c r="B164" s="84" t="s">
        <v>52</v>
      </c>
      <c r="C164" s="107" t="s">
        <v>119</v>
      </c>
      <c r="D164" s="240"/>
      <c r="E164" s="232"/>
      <c r="F164" s="231"/>
      <c r="G164" s="246"/>
      <c r="H164" s="209"/>
      <c r="I164" s="209"/>
      <c r="J164" s="230"/>
      <c r="K164" s="91"/>
      <c r="L164" s="221"/>
      <c r="M164" s="204"/>
      <c r="N164" s="209"/>
      <c r="O164" s="213"/>
      <c r="P164" s="209"/>
      <c r="Q164" s="204"/>
      <c r="R164" s="209"/>
      <c r="S164" s="199"/>
    </row>
    <row r="165" spans="1:19" ht="18.75">
      <c r="A165" s="234"/>
      <c r="B165" s="84" t="s">
        <v>120</v>
      </c>
      <c r="C165" s="107" t="s">
        <v>121</v>
      </c>
      <c r="D165" s="240"/>
      <c r="E165" s="232"/>
      <c r="F165" s="231"/>
      <c r="G165" s="246"/>
      <c r="H165" s="209"/>
      <c r="I165" s="209"/>
      <c r="J165" s="230"/>
      <c r="K165" s="91"/>
      <c r="L165" s="221"/>
      <c r="M165" s="204"/>
      <c r="N165" s="209"/>
      <c r="O165" s="213"/>
      <c r="P165" s="209"/>
      <c r="Q165" s="204"/>
      <c r="R165" s="209"/>
      <c r="S165" s="199"/>
    </row>
    <row r="166" spans="1:19" ht="18.75">
      <c r="A166" s="234"/>
      <c r="B166" s="84" t="s">
        <v>54</v>
      </c>
      <c r="C166" s="107" t="s">
        <v>55</v>
      </c>
      <c r="D166" s="240"/>
      <c r="E166" s="232"/>
      <c r="F166" s="231"/>
      <c r="G166" s="246"/>
      <c r="H166" s="209"/>
      <c r="I166" s="209"/>
      <c r="J166" s="230"/>
      <c r="K166" s="91"/>
      <c r="L166" s="221"/>
      <c r="M166" s="204"/>
      <c r="N166" s="209"/>
      <c r="O166" s="213"/>
      <c r="P166" s="209"/>
      <c r="Q166" s="204"/>
      <c r="R166" s="209"/>
      <c r="S166" s="199"/>
    </row>
    <row r="167" spans="1:19" ht="18.75">
      <c r="A167" s="234"/>
      <c r="B167" s="84" t="s">
        <v>56</v>
      </c>
      <c r="C167" s="107" t="s">
        <v>141</v>
      </c>
      <c r="D167" s="240"/>
      <c r="E167" s="232"/>
      <c r="F167" s="231"/>
      <c r="G167" s="246"/>
      <c r="H167" s="209"/>
      <c r="I167" s="209"/>
      <c r="J167" s="230"/>
      <c r="K167" s="91"/>
      <c r="L167" s="221"/>
      <c r="M167" s="204"/>
      <c r="N167" s="209"/>
      <c r="O167" s="213"/>
      <c r="P167" s="209"/>
      <c r="Q167" s="204"/>
      <c r="R167" s="209"/>
      <c r="S167" s="199"/>
    </row>
    <row r="168" spans="1:19" ht="18.75">
      <c r="A168" s="234"/>
      <c r="B168" s="84" t="s">
        <v>58</v>
      </c>
      <c r="C168" s="107" t="s">
        <v>142</v>
      </c>
      <c r="D168" s="240"/>
      <c r="E168" s="232"/>
      <c r="F168" s="231"/>
      <c r="G168" s="246"/>
      <c r="H168" s="209"/>
      <c r="I168" s="209"/>
      <c r="J168" s="230"/>
      <c r="K168" s="91"/>
      <c r="L168" s="221"/>
      <c r="M168" s="204"/>
      <c r="N168" s="209"/>
      <c r="O168" s="213"/>
      <c r="P168" s="209"/>
      <c r="Q168" s="204"/>
      <c r="R168" s="209"/>
      <c r="S168" s="199"/>
    </row>
    <row r="169" spans="1:19" ht="18.75">
      <c r="A169" s="234"/>
      <c r="B169" s="84" t="s">
        <v>60</v>
      </c>
      <c r="C169" s="107" t="s">
        <v>123</v>
      </c>
      <c r="D169" s="240"/>
      <c r="E169" s="232"/>
      <c r="F169" s="231"/>
      <c r="G169" s="246"/>
      <c r="H169" s="209"/>
      <c r="I169" s="209"/>
      <c r="J169" s="230"/>
      <c r="K169" s="91"/>
      <c r="L169" s="221"/>
      <c r="M169" s="204"/>
      <c r="N169" s="209"/>
      <c r="O169" s="213"/>
      <c r="P169" s="209"/>
      <c r="Q169" s="204"/>
      <c r="R169" s="209"/>
      <c r="S169" s="199"/>
    </row>
    <row r="170" spans="1:19" ht="18.75">
      <c r="A170" s="234"/>
      <c r="B170" s="84" t="s">
        <v>124</v>
      </c>
      <c r="C170" s="107" t="s">
        <v>125</v>
      </c>
      <c r="D170" s="240"/>
      <c r="E170" s="232"/>
      <c r="F170" s="231"/>
      <c r="G170" s="246"/>
      <c r="H170" s="209"/>
      <c r="I170" s="209"/>
      <c r="J170" s="230"/>
      <c r="K170" s="91"/>
      <c r="L170" s="221"/>
      <c r="M170" s="204"/>
      <c r="N170" s="209"/>
      <c r="O170" s="213"/>
      <c r="P170" s="209"/>
      <c r="Q170" s="204"/>
      <c r="R170" s="209"/>
      <c r="S170" s="199"/>
    </row>
    <row r="171" spans="1:19" ht="18.75">
      <c r="A171" s="234"/>
      <c r="B171" s="84" t="s">
        <v>62</v>
      </c>
      <c r="C171" s="107" t="s">
        <v>131</v>
      </c>
      <c r="D171" s="240"/>
      <c r="E171" s="232"/>
      <c r="F171" s="231"/>
      <c r="G171" s="246"/>
      <c r="H171" s="209"/>
      <c r="I171" s="209"/>
      <c r="J171" s="230"/>
      <c r="K171" s="91"/>
      <c r="L171" s="221"/>
      <c r="M171" s="204"/>
      <c r="N171" s="209"/>
      <c r="O171" s="213"/>
      <c r="P171" s="209"/>
      <c r="Q171" s="204"/>
      <c r="R171" s="209"/>
      <c r="S171" s="199"/>
    </row>
    <row r="172" spans="1:19" ht="18.75">
      <c r="A172" s="234"/>
      <c r="B172" s="84" t="s">
        <v>66</v>
      </c>
      <c r="C172" s="107" t="s">
        <v>67</v>
      </c>
      <c r="D172" s="240"/>
      <c r="E172" s="232"/>
      <c r="F172" s="231"/>
      <c r="G172" s="246"/>
      <c r="H172" s="209"/>
      <c r="I172" s="209"/>
      <c r="J172" s="230"/>
      <c r="K172" s="91"/>
      <c r="L172" s="221"/>
      <c r="M172" s="204"/>
      <c r="N172" s="209"/>
      <c r="O172" s="213"/>
      <c r="P172" s="209"/>
      <c r="Q172" s="204"/>
      <c r="R172" s="209"/>
      <c r="S172" s="199"/>
    </row>
    <row r="173" spans="1:19" ht="18.75">
      <c r="A173" s="234"/>
      <c r="B173" s="84" t="s">
        <v>68</v>
      </c>
      <c r="C173" s="107" t="s">
        <v>69</v>
      </c>
      <c r="D173" s="240"/>
      <c r="E173" s="232"/>
      <c r="F173" s="231"/>
      <c r="G173" s="246"/>
      <c r="H173" s="209"/>
      <c r="I173" s="209"/>
      <c r="J173" s="230"/>
      <c r="K173" s="91"/>
      <c r="L173" s="221"/>
      <c r="M173" s="204"/>
      <c r="N173" s="209"/>
      <c r="O173" s="213"/>
      <c r="P173" s="209"/>
      <c r="Q173" s="204"/>
      <c r="R173" s="209"/>
      <c r="S173" s="199"/>
    </row>
    <row r="174" spans="1:19" ht="18.75">
      <c r="A174" s="234"/>
      <c r="B174" s="84" t="s">
        <v>70</v>
      </c>
      <c r="C174" s="107" t="s">
        <v>71</v>
      </c>
      <c r="D174" s="240"/>
      <c r="E174" s="232"/>
      <c r="F174" s="231"/>
      <c r="G174" s="246"/>
      <c r="H174" s="209"/>
      <c r="I174" s="209"/>
      <c r="J174" s="230"/>
      <c r="K174" s="91"/>
      <c r="L174" s="221"/>
      <c r="M174" s="204"/>
      <c r="N174" s="209"/>
      <c r="O174" s="213"/>
      <c r="P174" s="209"/>
      <c r="Q174" s="204"/>
      <c r="R174" s="209"/>
      <c r="S174" s="199"/>
    </row>
    <row r="175" spans="1:19" ht="18.75">
      <c r="A175" s="234"/>
      <c r="B175" s="84" t="s">
        <v>72</v>
      </c>
      <c r="C175" s="107" t="s">
        <v>143</v>
      </c>
      <c r="D175" s="240"/>
      <c r="E175" s="232"/>
      <c r="F175" s="231"/>
      <c r="G175" s="246"/>
      <c r="H175" s="209"/>
      <c r="I175" s="209"/>
      <c r="J175" s="230"/>
      <c r="K175" s="91"/>
      <c r="L175" s="221"/>
      <c r="M175" s="204"/>
      <c r="N175" s="209"/>
      <c r="O175" s="213"/>
      <c r="P175" s="209"/>
      <c r="Q175" s="204"/>
      <c r="R175" s="209"/>
      <c r="S175" s="199"/>
    </row>
    <row r="176" spans="1:19" ht="19.5" thickBot="1">
      <c r="A176" s="235"/>
      <c r="B176" s="87" t="s">
        <v>74</v>
      </c>
      <c r="C176" s="108" t="s">
        <v>75</v>
      </c>
      <c r="D176" s="240"/>
      <c r="E176" s="232"/>
      <c r="F176" s="231"/>
      <c r="G176" s="246"/>
      <c r="H176" s="209"/>
      <c r="I176" s="209"/>
      <c r="J176" s="230"/>
      <c r="K176" s="92"/>
      <c r="L176" s="222"/>
      <c r="M176" s="205"/>
      <c r="N176" s="210"/>
      <c r="O176" s="214"/>
      <c r="P176" s="210"/>
      <c r="Q176" s="205"/>
      <c r="R176" s="210"/>
      <c r="S176" s="200"/>
    </row>
    <row r="177" spans="1:19" ht="18.75">
      <c r="A177" s="239" t="s">
        <v>144</v>
      </c>
      <c r="B177" s="89" t="s">
        <v>48</v>
      </c>
      <c r="C177" s="106" t="s">
        <v>145</v>
      </c>
      <c r="D177" s="240">
        <v>41774.76166176</v>
      </c>
      <c r="E177" s="229">
        <v>15433</v>
      </c>
      <c r="F177" s="231">
        <f>E177/$F$2</f>
        <v>14029.999999999998</v>
      </c>
      <c r="G177" s="209">
        <v>16676.13</v>
      </c>
      <c r="H177" s="209">
        <v>17506.34</v>
      </c>
      <c r="I177" s="209">
        <v>17506.689999999999</v>
      </c>
      <c r="J177" s="230">
        <v>18890.62</v>
      </c>
      <c r="K177" s="90"/>
      <c r="L177" s="223">
        <f>G177-E177</f>
        <v>1243.130000000001</v>
      </c>
      <c r="M177" s="215">
        <f>L177/$F$2</f>
        <v>1130.1181818181826</v>
      </c>
      <c r="N177" s="211">
        <f>H177-E177</f>
        <v>2073.34</v>
      </c>
      <c r="O177" s="217">
        <f>N177/$F$2</f>
        <v>1884.8545454545454</v>
      </c>
      <c r="P177" s="211">
        <f>I177-E177</f>
        <v>2073.6899999999987</v>
      </c>
      <c r="Q177" s="215">
        <f>P177/$F$2</f>
        <v>1885.172727272726</v>
      </c>
      <c r="R177" s="211">
        <f>J177-E177</f>
        <v>3457.619999999999</v>
      </c>
      <c r="S177" s="198">
        <f>R177/$F$2</f>
        <v>3143.2909090909079</v>
      </c>
    </row>
    <row r="178" spans="1:19" ht="18.75">
      <c r="A178" s="234"/>
      <c r="B178" s="84" t="s">
        <v>117</v>
      </c>
      <c r="C178" s="107" t="s">
        <v>118</v>
      </c>
      <c r="D178" s="240"/>
      <c r="E178" s="229"/>
      <c r="F178" s="231"/>
      <c r="G178" s="209"/>
      <c r="H178" s="209"/>
      <c r="I178" s="209"/>
      <c r="J178" s="230"/>
      <c r="K178" s="91"/>
      <c r="L178" s="221"/>
      <c r="M178" s="204"/>
      <c r="N178" s="209"/>
      <c r="O178" s="213"/>
      <c r="P178" s="209"/>
      <c r="Q178" s="204"/>
      <c r="R178" s="209"/>
      <c r="S178" s="199"/>
    </row>
    <row r="179" spans="1:19" ht="30">
      <c r="A179" s="234"/>
      <c r="B179" s="84" t="s">
        <v>52</v>
      </c>
      <c r="C179" s="107" t="s">
        <v>119</v>
      </c>
      <c r="D179" s="240"/>
      <c r="E179" s="229"/>
      <c r="F179" s="231"/>
      <c r="G179" s="209"/>
      <c r="H179" s="209"/>
      <c r="I179" s="209"/>
      <c r="J179" s="230"/>
      <c r="K179" s="91"/>
      <c r="L179" s="221"/>
      <c r="M179" s="204"/>
      <c r="N179" s="209"/>
      <c r="O179" s="213"/>
      <c r="P179" s="209"/>
      <c r="Q179" s="204"/>
      <c r="R179" s="209"/>
      <c r="S179" s="199"/>
    </row>
    <row r="180" spans="1:19" ht="18.75">
      <c r="A180" s="234"/>
      <c r="B180" s="84" t="s">
        <v>120</v>
      </c>
      <c r="C180" s="107" t="s">
        <v>121</v>
      </c>
      <c r="D180" s="240"/>
      <c r="E180" s="229"/>
      <c r="F180" s="231"/>
      <c r="G180" s="209"/>
      <c r="H180" s="209"/>
      <c r="I180" s="209"/>
      <c r="J180" s="230"/>
      <c r="K180" s="91"/>
      <c r="L180" s="221"/>
      <c r="M180" s="204"/>
      <c r="N180" s="209"/>
      <c r="O180" s="213"/>
      <c r="P180" s="209"/>
      <c r="Q180" s="204"/>
      <c r="R180" s="209"/>
      <c r="S180" s="199"/>
    </row>
    <row r="181" spans="1:19" ht="18.75">
      <c r="A181" s="234"/>
      <c r="B181" s="84" t="s">
        <v>54</v>
      </c>
      <c r="C181" s="107" t="s">
        <v>55</v>
      </c>
      <c r="D181" s="240"/>
      <c r="E181" s="229"/>
      <c r="F181" s="231"/>
      <c r="G181" s="209"/>
      <c r="H181" s="209"/>
      <c r="I181" s="209"/>
      <c r="J181" s="230"/>
      <c r="K181" s="91"/>
      <c r="L181" s="221"/>
      <c r="M181" s="204"/>
      <c r="N181" s="209"/>
      <c r="O181" s="213"/>
      <c r="P181" s="209"/>
      <c r="Q181" s="204"/>
      <c r="R181" s="209"/>
      <c r="S181" s="199"/>
    </row>
    <row r="182" spans="1:19" ht="18.75">
      <c r="A182" s="234"/>
      <c r="B182" s="84" t="s">
        <v>56</v>
      </c>
      <c r="C182" s="107" t="s">
        <v>146</v>
      </c>
      <c r="D182" s="240"/>
      <c r="E182" s="229"/>
      <c r="F182" s="231"/>
      <c r="G182" s="209"/>
      <c r="H182" s="209"/>
      <c r="I182" s="209"/>
      <c r="J182" s="230"/>
      <c r="K182" s="91"/>
      <c r="L182" s="221"/>
      <c r="M182" s="204"/>
      <c r="N182" s="209"/>
      <c r="O182" s="213"/>
      <c r="P182" s="209"/>
      <c r="Q182" s="204"/>
      <c r="R182" s="209"/>
      <c r="S182" s="199"/>
    </row>
    <row r="183" spans="1:19" ht="18.75">
      <c r="A183" s="234"/>
      <c r="B183" s="84" t="s">
        <v>58</v>
      </c>
      <c r="C183" s="107" t="s">
        <v>137</v>
      </c>
      <c r="D183" s="240"/>
      <c r="E183" s="229"/>
      <c r="F183" s="231"/>
      <c r="G183" s="209"/>
      <c r="H183" s="209"/>
      <c r="I183" s="209"/>
      <c r="J183" s="230"/>
      <c r="K183" s="91"/>
      <c r="L183" s="221"/>
      <c r="M183" s="204"/>
      <c r="N183" s="209"/>
      <c r="O183" s="213"/>
      <c r="P183" s="209"/>
      <c r="Q183" s="204"/>
      <c r="R183" s="209"/>
      <c r="S183" s="199"/>
    </row>
    <row r="184" spans="1:19" ht="18.75">
      <c r="A184" s="234"/>
      <c r="B184" s="84" t="s">
        <v>60</v>
      </c>
      <c r="C184" s="107" t="s">
        <v>123</v>
      </c>
      <c r="D184" s="240"/>
      <c r="E184" s="229"/>
      <c r="F184" s="231"/>
      <c r="G184" s="209"/>
      <c r="H184" s="209"/>
      <c r="I184" s="209"/>
      <c r="J184" s="230"/>
      <c r="K184" s="91"/>
      <c r="L184" s="221"/>
      <c r="M184" s="204"/>
      <c r="N184" s="209"/>
      <c r="O184" s="213"/>
      <c r="P184" s="209"/>
      <c r="Q184" s="204"/>
      <c r="R184" s="209"/>
      <c r="S184" s="199"/>
    </row>
    <row r="185" spans="1:19" ht="18.75">
      <c r="A185" s="234"/>
      <c r="B185" s="84" t="s">
        <v>124</v>
      </c>
      <c r="C185" s="107" t="s">
        <v>147</v>
      </c>
      <c r="D185" s="240"/>
      <c r="E185" s="229"/>
      <c r="F185" s="231"/>
      <c r="G185" s="209"/>
      <c r="H185" s="209"/>
      <c r="I185" s="209"/>
      <c r="J185" s="230"/>
      <c r="K185" s="91"/>
      <c r="L185" s="221"/>
      <c r="M185" s="204"/>
      <c r="N185" s="209"/>
      <c r="O185" s="213"/>
      <c r="P185" s="209"/>
      <c r="Q185" s="204"/>
      <c r="R185" s="209"/>
      <c r="S185" s="199"/>
    </row>
    <row r="186" spans="1:19" ht="18.75">
      <c r="A186" s="234"/>
      <c r="B186" s="84" t="s">
        <v>62</v>
      </c>
      <c r="C186" s="107" t="s">
        <v>148</v>
      </c>
      <c r="D186" s="240"/>
      <c r="E186" s="229"/>
      <c r="F186" s="231"/>
      <c r="G186" s="209"/>
      <c r="H186" s="209"/>
      <c r="I186" s="209"/>
      <c r="J186" s="230"/>
      <c r="K186" s="91"/>
      <c r="L186" s="221"/>
      <c r="M186" s="204"/>
      <c r="N186" s="209"/>
      <c r="O186" s="213"/>
      <c r="P186" s="209"/>
      <c r="Q186" s="204"/>
      <c r="R186" s="209"/>
      <c r="S186" s="199"/>
    </row>
    <row r="187" spans="1:19" ht="18.75">
      <c r="A187" s="234"/>
      <c r="B187" s="84" t="s">
        <v>66</v>
      </c>
      <c r="C187" s="107" t="s">
        <v>67</v>
      </c>
      <c r="D187" s="240"/>
      <c r="E187" s="229"/>
      <c r="F187" s="231"/>
      <c r="G187" s="209"/>
      <c r="H187" s="209"/>
      <c r="I187" s="209"/>
      <c r="J187" s="230"/>
      <c r="K187" s="91"/>
      <c r="L187" s="221"/>
      <c r="M187" s="204"/>
      <c r="N187" s="209"/>
      <c r="O187" s="213"/>
      <c r="P187" s="209"/>
      <c r="Q187" s="204"/>
      <c r="R187" s="209"/>
      <c r="S187" s="199"/>
    </row>
    <row r="188" spans="1:19" ht="18.75">
      <c r="A188" s="234"/>
      <c r="B188" s="84" t="s">
        <v>68</v>
      </c>
      <c r="C188" s="107" t="s">
        <v>69</v>
      </c>
      <c r="D188" s="240"/>
      <c r="E188" s="229"/>
      <c r="F188" s="231"/>
      <c r="G188" s="209"/>
      <c r="H188" s="209"/>
      <c r="I188" s="209"/>
      <c r="J188" s="230"/>
      <c r="K188" s="91"/>
      <c r="L188" s="221"/>
      <c r="M188" s="204"/>
      <c r="N188" s="209"/>
      <c r="O188" s="213"/>
      <c r="P188" s="209"/>
      <c r="Q188" s="204"/>
      <c r="R188" s="209"/>
      <c r="S188" s="199"/>
    </row>
    <row r="189" spans="1:19" ht="18.75">
      <c r="A189" s="234"/>
      <c r="B189" s="84" t="s">
        <v>70</v>
      </c>
      <c r="C189" s="107" t="s">
        <v>71</v>
      </c>
      <c r="D189" s="240"/>
      <c r="E189" s="229"/>
      <c r="F189" s="231"/>
      <c r="G189" s="209"/>
      <c r="H189" s="209"/>
      <c r="I189" s="209"/>
      <c r="J189" s="230"/>
      <c r="K189" s="91"/>
      <c r="L189" s="221"/>
      <c r="M189" s="204"/>
      <c r="N189" s="209"/>
      <c r="O189" s="213"/>
      <c r="P189" s="209"/>
      <c r="Q189" s="204"/>
      <c r="R189" s="209"/>
      <c r="S189" s="199"/>
    </row>
    <row r="190" spans="1:19" ht="18.75">
      <c r="A190" s="234"/>
      <c r="B190" s="84" t="s">
        <v>72</v>
      </c>
      <c r="C190" s="107" t="s">
        <v>149</v>
      </c>
      <c r="D190" s="240"/>
      <c r="E190" s="229"/>
      <c r="F190" s="231"/>
      <c r="G190" s="209"/>
      <c r="H190" s="209"/>
      <c r="I190" s="209"/>
      <c r="J190" s="230"/>
      <c r="K190" s="91"/>
      <c r="L190" s="221"/>
      <c r="M190" s="204"/>
      <c r="N190" s="209"/>
      <c r="O190" s="213"/>
      <c r="P190" s="209"/>
      <c r="Q190" s="204"/>
      <c r="R190" s="209"/>
      <c r="S190" s="199"/>
    </row>
    <row r="191" spans="1:19" ht="19.5" thickBot="1">
      <c r="A191" s="242"/>
      <c r="B191" s="96" t="s">
        <v>74</v>
      </c>
      <c r="C191" s="109" t="s">
        <v>75</v>
      </c>
      <c r="D191" s="240"/>
      <c r="E191" s="229"/>
      <c r="F191" s="231"/>
      <c r="G191" s="209"/>
      <c r="H191" s="209"/>
      <c r="I191" s="209"/>
      <c r="J191" s="230"/>
      <c r="K191" s="91"/>
      <c r="L191" s="224"/>
      <c r="M191" s="216"/>
      <c r="N191" s="225"/>
      <c r="O191" s="218"/>
      <c r="P191" s="225"/>
      <c r="Q191" s="216"/>
      <c r="R191" s="225"/>
      <c r="S191" s="201"/>
    </row>
    <row r="192" spans="1:19" ht="18.75">
      <c r="A192" s="243" t="s">
        <v>150</v>
      </c>
      <c r="B192" s="89" t="s">
        <v>48</v>
      </c>
      <c r="C192" s="106" t="s">
        <v>151</v>
      </c>
      <c r="D192" s="240">
        <v>52391.35</v>
      </c>
      <c r="E192" s="232">
        <v>14581</v>
      </c>
      <c r="F192" s="231">
        <f>E192/$F$2</f>
        <v>13255.454545454544</v>
      </c>
      <c r="G192" s="209">
        <v>15659.28</v>
      </c>
      <c r="H192" s="209">
        <v>16521.2</v>
      </c>
      <c r="I192" s="209">
        <v>17454.939999999999</v>
      </c>
      <c r="J192" s="230">
        <v>19753.400000000001</v>
      </c>
      <c r="K192" s="90"/>
      <c r="L192" s="223">
        <f>G192-E192</f>
        <v>1078.2800000000007</v>
      </c>
      <c r="M192" s="215">
        <f>L192/$F$2</f>
        <v>980.25454545454602</v>
      </c>
      <c r="N192" s="211">
        <f>H192-E192</f>
        <v>1940.2000000000007</v>
      </c>
      <c r="O192" s="217">
        <f>N192/$F$2</f>
        <v>1763.8181818181824</v>
      </c>
      <c r="P192" s="211">
        <f>I192-E192</f>
        <v>2873.9399999999987</v>
      </c>
      <c r="Q192" s="215">
        <f>P192/$F$2</f>
        <v>2612.6727272727258</v>
      </c>
      <c r="R192" s="211">
        <f>J192-E192</f>
        <v>5172.4000000000015</v>
      </c>
      <c r="S192" s="198">
        <f>R192/$F$2</f>
        <v>4702.1818181818189</v>
      </c>
    </row>
    <row r="193" spans="1:19" ht="18.75">
      <c r="A193" s="244"/>
      <c r="B193" s="84" t="s">
        <v>117</v>
      </c>
      <c r="C193" s="107" t="s">
        <v>135</v>
      </c>
      <c r="D193" s="240"/>
      <c r="E193" s="232"/>
      <c r="F193" s="231"/>
      <c r="G193" s="209"/>
      <c r="H193" s="209"/>
      <c r="I193" s="209"/>
      <c r="J193" s="230"/>
      <c r="K193" s="91"/>
      <c r="L193" s="221"/>
      <c r="M193" s="204"/>
      <c r="N193" s="209"/>
      <c r="O193" s="213"/>
      <c r="P193" s="209"/>
      <c r="Q193" s="204"/>
      <c r="R193" s="209"/>
      <c r="S193" s="199"/>
    </row>
    <row r="194" spans="1:19" ht="30">
      <c r="A194" s="244"/>
      <c r="B194" s="84" t="s">
        <v>52</v>
      </c>
      <c r="C194" s="107" t="s">
        <v>119</v>
      </c>
      <c r="D194" s="240"/>
      <c r="E194" s="232"/>
      <c r="F194" s="231"/>
      <c r="G194" s="209"/>
      <c r="H194" s="209"/>
      <c r="I194" s="209"/>
      <c r="J194" s="230"/>
      <c r="K194" s="91"/>
      <c r="L194" s="221"/>
      <c r="M194" s="204"/>
      <c r="N194" s="209"/>
      <c r="O194" s="213"/>
      <c r="P194" s="209"/>
      <c r="Q194" s="204"/>
      <c r="R194" s="209"/>
      <c r="S194" s="199"/>
    </row>
    <row r="195" spans="1:19" ht="18.75">
      <c r="A195" s="244"/>
      <c r="B195" s="84" t="s">
        <v>120</v>
      </c>
      <c r="C195" s="107" t="s">
        <v>121</v>
      </c>
      <c r="D195" s="240"/>
      <c r="E195" s="232"/>
      <c r="F195" s="231"/>
      <c r="G195" s="209"/>
      <c r="H195" s="209"/>
      <c r="I195" s="209"/>
      <c r="J195" s="230"/>
      <c r="K195" s="91"/>
      <c r="L195" s="221"/>
      <c r="M195" s="204"/>
      <c r="N195" s="209"/>
      <c r="O195" s="213"/>
      <c r="P195" s="209"/>
      <c r="Q195" s="204"/>
      <c r="R195" s="209"/>
      <c r="S195" s="199"/>
    </row>
    <row r="196" spans="1:19" ht="18.75">
      <c r="A196" s="244"/>
      <c r="B196" s="84" t="s">
        <v>54</v>
      </c>
      <c r="C196" s="107" t="s">
        <v>55</v>
      </c>
      <c r="D196" s="240"/>
      <c r="E196" s="232"/>
      <c r="F196" s="231"/>
      <c r="G196" s="209"/>
      <c r="H196" s="209"/>
      <c r="I196" s="209"/>
      <c r="J196" s="230"/>
      <c r="K196" s="91"/>
      <c r="L196" s="221"/>
      <c r="M196" s="204"/>
      <c r="N196" s="209"/>
      <c r="O196" s="213"/>
      <c r="P196" s="209"/>
      <c r="Q196" s="204"/>
      <c r="R196" s="209"/>
      <c r="S196" s="199"/>
    </row>
    <row r="197" spans="1:19" ht="18.75">
      <c r="A197" s="244"/>
      <c r="B197" s="84" t="s">
        <v>56</v>
      </c>
      <c r="C197" s="107" t="s">
        <v>152</v>
      </c>
      <c r="D197" s="240"/>
      <c r="E197" s="232"/>
      <c r="F197" s="231"/>
      <c r="G197" s="209"/>
      <c r="H197" s="209"/>
      <c r="I197" s="209"/>
      <c r="J197" s="230"/>
      <c r="K197" s="91"/>
      <c r="L197" s="221"/>
      <c r="M197" s="204"/>
      <c r="N197" s="209"/>
      <c r="O197" s="213"/>
      <c r="P197" s="209"/>
      <c r="Q197" s="204"/>
      <c r="R197" s="209"/>
      <c r="S197" s="199"/>
    </row>
    <row r="198" spans="1:19" ht="18.75">
      <c r="A198" s="244"/>
      <c r="B198" s="84" t="s">
        <v>58</v>
      </c>
      <c r="C198" s="107" t="s">
        <v>137</v>
      </c>
      <c r="D198" s="240"/>
      <c r="E198" s="232"/>
      <c r="F198" s="231"/>
      <c r="G198" s="209"/>
      <c r="H198" s="209"/>
      <c r="I198" s="209"/>
      <c r="J198" s="230"/>
      <c r="K198" s="91"/>
      <c r="L198" s="221"/>
      <c r="M198" s="204"/>
      <c r="N198" s="209"/>
      <c r="O198" s="213"/>
      <c r="P198" s="209"/>
      <c r="Q198" s="204"/>
      <c r="R198" s="209"/>
      <c r="S198" s="199"/>
    </row>
    <row r="199" spans="1:19" ht="18.75">
      <c r="A199" s="244"/>
      <c r="B199" s="84" t="s">
        <v>60</v>
      </c>
      <c r="C199" s="107" t="s">
        <v>123</v>
      </c>
      <c r="D199" s="240"/>
      <c r="E199" s="232"/>
      <c r="F199" s="231"/>
      <c r="G199" s="209"/>
      <c r="H199" s="209"/>
      <c r="I199" s="209"/>
      <c r="J199" s="230"/>
      <c r="K199" s="91"/>
      <c r="L199" s="221"/>
      <c r="M199" s="204"/>
      <c r="N199" s="209"/>
      <c r="O199" s="213"/>
      <c r="P199" s="209"/>
      <c r="Q199" s="204"/>
      <c r="R199" s="209"/>
      <c r="S199" s="199"/>
    </row>
    <row r="200" spans="1:19" ht="18.75">
      <c r="A200" s="244"/>
      <c r="B200" s="84" t="s">
        <v>124</v>
      </c>
      <c r="C200" s="107" t="s">
        <v>153</v>
      </c>
      <c r="D200" s="240"/>
      <c r="E200" s="232"/>
      <c r="F200" s="231"/>
      <c r="G200" s="209"/>
      <c r="H200" s="209"/>
      <c r="I200" s="209"/>
      <c r="J200" s="230"/>
      <c r="K200" s="91"/>
      <c r="L200" s="221"/>
      <c r="M200" s="204"/>
      <c r="N200" s="209"/>
      <c r="O200" s="213"/>
      <c r="P200" s="209"/>
      <c r="Q200" s="204"/>
      <c r="R200" s="209"/>
      <c r="S200" s="199"/>
    </row>
    <row r="201" spans="1:19" ht="18.75">
      <c r="A201" s="244"/>
      <c r="B201" s="84" t="s">
        <v>62</v>
      </c>
      <c r="C201" s="107" t="s">
        <v>154</v>
      </c>
      <c r="D201" s="240"/>
      <c r="E201" s="232"/>
      <c r="F201" s="231"/>
      <c r="G201" s="209"/>
      <c r="H201" s="209"/>
      <c r="I201" s="209"/>
      <c r="J201" s="230"/>
      <c r="K201" s="91"/>
      <c r="L201" s="221"/>
      <c r="M201" s="204"/>
      <c r="N201" s="209"/>
      <c r="O201" s="213"/>
      <c r="P201" s="209"/>
      <c r="Q201" s="204"/>
      <c r="R201" s="209"/>
      <c r="S201" s="199"/>
    </row>
    <row r="202" spans="1:19" ht="18.75">
      <c r="A202" s="244"/>
      <c r="B202" s="84" t="s">
        <v>66</v>
      </c>
      <c r="C202" s="107" t="s">
        <v>67</v>
      </c>
      <c r="D202" s="240"/>
      <c r="E202" s="232"/>
      <c r="F202" s="231"/>
      <c r="G202" s="209"/>
      <c r="H202" s="209"/>
      <c r="I202" s="209"/>
      <c r="J202" s="230"/>
      <c r="K202" s="91"/>
      <c r="L202" s="221"/>
      <c r="M202" s="204"/>
      <c r="N202" s="209"/>
      <c r="O202" s="213"/>
      <c r="P202" s="209"/>
      <c r="Q202" s="204"/>
      <c r="R202" s="209"/>
      <c r="S202" s="199"/>
    </row>
    <row r="203" spans="1:19" ht="18.75">
      <c r="A203" s="244"/>
      <c r="B203" s="84" t="s">
        <v>68</v>
      </c>
      <c r="C203" s="107" t="s">
        <v>69</v>
      </c>
      <c r="D203" s="240"/>
      <c r="E203" s="232"/>
      <c r="F203" s="231"/>
      <c r="G203" s="209"/>
      <c r="H203" s="209"/>
      <c r="I203" s="209"/>
      <c r="J203" s="230"/>
      <c r="K203" s="91"/>
      <c r="L203" s="221"/>
      <c r="M203" s="204"/>
      <c r="N203" s="209"/>
      <c r="O203" s="213"/>
      <c r="P203" s="209"/>
      <c r="Q203" s="204"/>
      <c r="R203" s="209"/>
      <c r="S203" s="199"/>
    </row>
    <row r="204" spans="1:19" ht="18.75">
      <c r="A204" s="244"/>
      <c r="B204" s="84" t="s">
        <v>70</v>
      </c>
      <c r="C204" s="107" t="s">
        <v>71</v>
      </c>
      <c r="D204" s="240"/>
      <c r="E204" s="232"/>
      <c r="F204" s="231"/>
      <c r="G204" s="209"/>
      <c r="H204" s="209"/>
      <c r="I204" s="209"/>
      <c r="J204" s="230"/>
      <c r="K204" s="91"/>
      <c r="L204" s="221"/>
      <c r="M204" s="204"/>
      <c r="N204" s="209"/>
      <c r="O204" s="213"/>
      <c r="P204" s="209"/>
      <c r="Q204" s="204"/>
      <c r="R204" s="209"/>
      <c r="S204" s="199"/>
    </row>
    <row r="205" spans="1:19" ht="18.75">
      <c r="A205" s="244"/>
      <c r="B205" s="84" t="s">
        <v>127</v>
      </c>
      <c r="C205" s="107" t="s">
        <v>128</v>
      </c>
      <c r="D205" s="240"/>
      <c r="E205" s="232"/>
      <c r="F205" s="231"/>
      <c r="G205" s="209"/>
      <c r="H205" s="209"/>
      <c r="I205" s="209"/>
      <c r="J205" s="230"/>
      <c r="K205" s="91"/>
      <c r="L205" s="221"/>
      <c r="M205" s="204"/>
      <c r="N205" s="209"/>
      <c r="O205" s="213"/>
      <c r="P205" s="209"/>
      <c r="Q205" s="204"/>
      <c r="R205" s="209"/>
      <c r="S205" s="199"/>
    </row>
    <row r="206" spans="1:19" ht="19.5" thickBot="1">
      <c r="A206" s="245"/>
      <c r="B206" s="87" t="s">
        <v>74</v>
      </c>
      <c r="C206" s="108" t="s">
        <v>75</v>
      </c>
      <c r="D206" s="240"/>
      <c r="E206" s="232"/>
      <c r="F206" s="231"/>
      <c r="G206" s="209"/>
      <c r="H206" s="209"/>
      <c r="I206" s="209"/>
      <c r="J206" s="230"/>
      <c r="K206" s="92"/>
      <c r="L206" s="222"/>
      <c r="M206" s="205"/>
      <c r="N206" s="210"/>
      <c r="O206" s="214"/>
      <c r="P206" s="210"/>
      <c r="Q206" s="205"/>
      <c r="R206" s="210"/>
      <c r="S206" s="200"/>
    </row>
    <row r="207" spans="1:19" ht="18.75">
      <c r="A207" s="239" t="s">
        <v>155</v>
      </c>
      <c r="B207" s="89" t="s">
        <v>48</v>
      </c>
      <c r="C207" s="106" t="s">
        <v>156</v>
      </c>
      <c r="D207" s="240">
        <v>39011.447741759999</v>
      </c>
      <c r="E207" s="229">
        <v>13207</v>
      </c>
      <c r="F207" s="231">
        <f>E207/$F$2</f>
        <v>12006.363636363636</v>
      </c>
      <c r="G207" s="209">
        <v>15974.15</v>
      </c>
      <c r="H207" s="209">
        <v>15067.77</v>
      </c>
      <c r="I207" s="209">
        <v>15797.14</v>
      </c>
      <c r="J207" s="230">
        <v>17882.04</v>
      </c>
      <c r="K207" s="90"/>
      <c r="L207" s="223">
        <f>G207-E207</f>
        <v>2767.1499999999996</v>
      </c>
      <c r="M207" s="215">
        <f>L207/$F$2</f>
        <v>2515.5909090909086</v>
      </c>
      <c r="N207" s="211">
        <f>H207-E207</f>
        <v>1860.7700000000004</v>
      </c>
      <c r="O207" s="217">
        <f>N207/$F$2</f>
        <v>1691.6090909090913</v>
      </c>
      <c r="P207" s="211">
        <f>I207-E207</f>
        <v>2590.1399999999994</v>
      </c>
      <c r="Q207" s="215">
        <f>P207/$F$2</f>
        <v>2354.6727272727267</v>
      </c>
      <c r="R207" s="211">
        <f>J207-E207</f>
        <v>4675.0400000000009</v>
      </c>
      <c r="S207" s="198">
        <f>R207/$F$2</f>
        <v>4250.0363636363645</v>
      </c>
    </row>
    <row r="208" spans="1:19" ht="18.75">
      <c r="A208" s="234"/>
      <c r="B208" s="84" t="s">
        <v>117</v>
      </c>
      <c r="C208" s="107" t="s">
        <v>118</v>
      </c>
      <c r="D208" s="240"/>
      <c r="E208" s="229"/>
      <c r="F208" s="231"/>
      <c r="G208" s="209"/>
      <c r="H208" s="209"/>
      <c r="I208" s="209"/>
      <c r="J208" s="230"/>
      <c r="K208" s="91"/>
      <c r="L208" s="221"/>
      <c r="M208" s="204"/>
      <c r="N208" s="209"/>
      <c r="O208" s="213"/>
      <c r="P208" s="209"/>
      <c r="Q208" s="204"/>
      <c r="R208" s="209"/>
      <c r="S208" s="199"/>
    </row>
    <row r="209" spans="1:19" ht="30">
      <c r="A209" s="234"/>
      <c r="B209" s="84" t="s">
        <v>52</v>
      </c>
      <c r="C209" s="107" t="s">
        <v>157</v>
      </c>
      <c r="D209" s="240"/>
      <c r="E209" s="229"/>
      <c r="F209" s="231"/>
      <c r="G209" s="209"/>
      <c r="H209" s="209"/>
      <c r="I209" s="209"/>
      <c r="J209" s="230"/>
      <c r="K209" s="91"/>
      <c r="L209" s="221"/>
      <c r="M209" s="204"/>
      <c r="N209" s="209"/>
      <c r="O209" s="213"/>
      <c r="P209" s="209"/>
      <c r="Q209" s="204"/>
      <c r="R209" s="209"/>
      <c r="S209" s="199"/>
    </row>
    <row r="210" spans="1:19" ht="18.75">
      <c r="A210" s="234"/>
      <c r="B210" s="84" t="s">
        <v>120</v>
      </c>
      <c r="C210" s="107" t="s">
        <v>121</v>
      </c>
      <c r="D210" s="240"/>
      <c r="E210" s="229"/>
      <c r="F210" s="231"/>
      <c r="G210" s="209"/>
      <c r="H210" s="209"/>
      <c r="I210" s="209"/>
      <c r="J210" s="230"/>
      <c r="K210" s="91"/>
      <c r="L210" s="221"/>
      <c r="M210" s="204"/>
      <c r="N210" s="209"/>
      <c r="O210" s="213"/>
      <c r="P210" s="209"/>
      <c r="Q210" s="204"/>
      <c r="R210" s="209"/>
      <c r="S210" s="199"/>
    </row>
    <row r="211" spans="1:19" ht="18.75">
      <c r="A211" s="234"/>
      <c r="B211" s="84" t="s">
        <v>54</v>
      </c>
      <c r="C211" s="107" t="s">
        <v>55</v>
      </c>
      <c r="D211" s="240"/>
      <c r="E211" s="229"/>
      <c r="F211" s="231"/>
      <c r="G211" s="209"/>
      <c r="H211" s="209"/>
      <c r="I211" s="209"/>
      <c r="J211" s="230"/>
      <c r="K211" s="91"/>
      <c r="L211" s="221"/>
      <c r="M211" s="204"/>
      <c r="N211" s="209"/>
      <c r="O211" s="213"/>
      <c r="P211" s="209"/>
      <c r="Q211" s="204"/>
      <c r="R211" s="209"/>
      <c r="S211" s="199"/>
    </row>
    <row r="212" spans="1:19" ht="18.75">
      <c r="A212" s="234"/>
      <c r="B212" s="84" t="s">
        <v>56</v>
      </c>
      <c r="C212" s="107" t="s">
        <v>146</v>
      </c>
      <c r="D212" s="240"/>
      <c r="E212" s="229"/>
      <c r="F212" s="231"/>
      <c r="G212" s="209"/>
      <c r="H212" s="209"/>
      <c r="I212" s="209"/>
      <c r="J212" s="230"/>
      <c r="K212" s="91"/>
      <c r="L212" s="221"/>
      <c r="M212" s="204"/>
      <c r="N212" s="209"/>
      <c r="O212" s="213"/>
      <c r="P212" s="209"/>
      <c r="Q212" s="204"/>
      <c r="R212" s="209"/>
      <c r="S212" s="199"/>
    </row>
    <row r="213" spans="1:19" ht="18.75">
      <c r="A213" s="234"/>
      <c r="B213" s="84" t="s">
        <v>58</v>
      </c>
      <c r="C213" s="107" t="s">
        <v>158</v>
      </c>
      <c r="D213" s="240"/>
      <c r="E213" s="229"/>
      <c r="F213" s="231"/>
      <c r="G213" s="209"/>
      <c r="H213" s="209"/>
      <c r="I213" s="209"/>
      <c r="J213" s="230"/>
      <c r="K213" s="91"/>
      <c r="L213" s="221"/>
      <c r="M213" s="204"/>
      <c r="N213" s="209"/>
      <c r="O213" s="213"/>
      <c r="P213" s="209"/>
      <c r="Q213" s="204"/>
      <c r="R213" s="209"/>
      <c r="S213" s="199"/>
    </row>
    <row r="214" spans="1:19" ht="18.75">
      <c r="A214" s="234"/>
      <c r="B214" s="84" t="s">
        <v>60</v>
      </c>
      <c r="C214" s="107" t="s">
        <v>123</v>
      </c>
      <c r="D214" s="240"/>
      <c r="E214" s="229"/>
      <c r="F214" s="231"/>
      <c r="G214" s="209"/>
      <c r="H214" s="209"/>
      <c r="I214" s="209"/>
      <c r="J214" s="230"/>
      <c r="K214" s="91"/>
      <c r="L214" s="221"/>
      <c r="M214" s="204"/>
      <c r="N214" s="209"/>
      <c r="O214" s="213"/>
      <c r="P214" s="209"/>
      <c r="Q214" s="204"/>
      <c r="R214" s="209"/>
      <c r="S214" s="199"/>
    </row>
    <row r="215" spans="1:19" ht="18.75">
      <c r="A215" s="234"/>
      <c r="B215" s="84" t="s">
        <v>124</v>
      </c>
      <c r="C215" s="107" t="s">
        <v>147</v>
      </c>
      <c r="D215" s="240"/>
      <c r="E215" s="229"/>
      <c r="F215" s="231"/>
      <c r="G215" s="209"/>
      <c r="H215" s="209"/>
      <c r="I215" s="209"/>
      <c r="J215" s="230"/>
      <c r="K215" s="91"/>
      <c r="L215" s="221"/>
      <c r="M215" s="204"/>
      <c r="N215" s="209"/>
      <c r="O215" s="213"/>
      <c r="P215" s="209"/>
      <c r="Q215" s="204"/>
      <c r="R215" s="209"/>
      <c r="S215" s="199"/>
    </row>
    <row r="216" spans="1:19" ht="18.75">
      <c r="A216" s="234"/>
      <c r="B216" s="84" t="s">
        <v>62</v>
      </c>
      <c r="C216" s="107" t="s">
        <v>159</v>
      </c>
      <c r="D216" s="240"/>
      <c r="E216" s="229"/>
      <c r="F216" s="231"/>
      <c r="G216" s="209"/>
      <c r="H216" s="209"/>
      <c r="I216" s="209"/>
      <c r="J216" s="230"/>
      <c r="K216" s="91"/>
      <c r="L216" s="221"/>
      <c r="M216" s="204"/>
      <c r="N216" s="209"/>
      <c r="O216" s="213"/>
      <c r="P216" s="209"/>
      <c r="Q216" s="204"/>
      <c r="R216" s="209"/>
      <c r="S216" s="199"/>
    </row>
    <row r="217" spans="1:19" ht="18.75">
      <c r="A217" s="234"/>
      <c r="B217" s="84" t="s">
        <v>66</v>
      </c>
      <c r="C217" s="107" t="s">
        <v>67</v>
      </c>
      <c r="D217" s="240"/>
      <c r="E217" s="229"/>
      <c r="F217" s="231"/>
      <c r="G217" s="209"/>
      <c r="H217" s="209"/>
      <c r="I217" s="209"/>
      <c r="J217" s="230"/>
      <c r="K217" s="91"/>
      <c r="L217" s="221"/>
      <c r="M217" s="204"/>
      <c r="N217" s="209"/>
      <c r="O217" s="213"/>
      <c r="P217" s="209"/>
      <c r="Q217" s="204"/>
      <c r="R217" s="209"/>
      <c r="S217" s="199"/>
    </row>
    <row r="218" spans="1:19" ht="18.75">
      <c r="A218" s="234"/>
      <c r="B218" s="84" t="s">
        <v>68</v>
      </c>
      <c r="C218" s="107" t="s">
        <v>69</v>
      </c>
      <c r="D218" s="240"/>
      <c r="E218" s="229"/>
      <c r="F218" s="231"/>
      <c r="G218" s="209"/>
      <c r="H218" s="209"/>
      <c r="I218" s="209"/>
      <c r="J218" s="230"/>
      <c r="K218" s="91"/>
      <c r="L218" s="221"/>
      <c r="M218" s="204"/>
      <c r="N218" s="209"/>
      <c r="O218" s="213"/>
      <c r="P218" s="209"/>
      <c r="Q218" s="204"/>
      <c r="R218" s="209"/>
      <c r="S218" s="199"/>
    </row>
    <row r="219" spans="1:19" ht="18.75">
      <c r="A219" s="234"/>
      <c r="B219" s="84" t="s">
        <v>70</v>
      </c>
      <c r="C219" s="107" t="s">
        <v>71</v>
      </c>
      <c r="D219" s="240"/>
      <c r="E219" s="229"/>
      <c r="F219" s="231"/>
      <c r="G219" s="209"/>
      <c r="H219" s="209"/>
      <c r="I219" s="209"/>
      <c r="J219" s="230"/>
      <c r="K219" s="91"/>
      <c r="L219" s="221"/>
      <c r="M219" s="204"/>
      <c r="N219" s="209"/>
      <c r="O219" s="213"/>
      <c r="P219" s="209"/>
      <c r="Q219" s="204"/>
      <c r="R219" s="209"/>
      <c r="S219" s="199"/>
    </row>
    <row r="220" spans="1:19" ht="18.75">
      <c r="A220" s="234"/>
      <c r="B220" s="84" t="s">
        <v>127</v>
      </c>
      <c r="C220" s="107" t="s">
        <v>128</v>
      </c>
      <c r="D220" s="240"/>
      <c r="E220" s="229"/>
      <c r="F220" s="231"/>
      <c r="G220" s="209"/>
      <c r="H220" s="209"/>
      <c r="I220" s="209"/>
      <c r="J220" s="230"/>
      <c r="K220" s="91"/>
      <c r="L220" s="221"/>
      <c r="M220" s="204"/>
      <c r="N220" s="209"/>
      <c r="O220" s="213"/>
      <c r="P220" s="209"/>
      <c r="Q220" s="204"/>
      <c r="R220" s="209"/>
      <c r="S220" s="199"/>
    </row>
    <row r="221" spans="1:19" ht="19.5" thickBot="1">
      <c r="A221" s="242"/>
      <c r="B221" s="96" t="s">
        <v>74</v>
      </c>
      <c r="C221" s="109" t="s">
        <v>75</v>
      </c>
      <c r="D221" s="240"/>
      <c r="E221" s="229"/>
      <c r="F221" s="231"/>
      <c r="G221" s="209"/>
      <c r="H221" s="209"/>
      <c r="I221" s="209"/>
      <c r="J221" s="230"/>
      <c r="K221" s="91"/>
      <c r="L221" s="224"/>
      <c r="M221" s="216"/>
      <c r="N221" s="225"/>
      <c r="O221" s="218"/>
      <c r="P221" s="225"/>
      <c r="Q221" s="216"/>
      <c r="R221" s="225"/>
      <c r="S221" s="201"/>
    </row>
    <row r="222" spans="1:19" ht="18.75">
      <c r="A222" s="239" t="s">
        <v>160</v>
      </c>
      <c r="B222" s="89" t="s">
        <v>48</v>
      </c>
      <c r="C222" s="106" t="s">
        <v>161</v>
      </c>
      <c r="D222" s="240">
        <v>43963.49</v>
      </c>
      <c r="E222" s="232">
        <v>13273</v>
      </c>
      <c r="F222" s="231">
        <f>E222/$F$2</f>
        <v>12066.363636363636</v>
      </c>
      <c r="G222" s="209">
        <v>14243</v>
      </c>
      <c r="H222" s="209">
        <v>15020.21</v>
      </c>
      <c r="I222" s="209">
        <v>14890.78</v>
      </c>
      <c r="J222" s="230">
        <v>16185.06</v>
      </c>
      <c r="K222" s="90"/>
      <c r="L222" s="226">
        <f>G222-E222</f>
        <v>970</v>
      </c>
      <c r="M222" s="215">
        <f>L222/$F$2</f>
        <v>881.81818181818176</v>
      </c>
      <c r="N222" s="211">
        <f>H222-E222</f>
        <v>1747.2099999999991</v>
      </c>
      <c r="O222" s="217">
        <f>N222/$F$2</f>
        <v>1588.3727272727263</v>
      </c>
      <c r="P222" s="211">
        <f>I222-E222</f>
        <v>1617.7800000000007</v>
      </c>
      <c r="Q222" s="215">
        <f>P222/$F$2</f>
        <v>1470.7090909090914</v>
      </c>
      <c r="R222" s="211">
        <f>J222-E222</f>
        <v>2912.0599999999995</v>
      </c>
      <c r="S222" s="198">
        <f>R222/$F$2</f>
        <v>2647.327272727272</v>
      </c>
    </row>
    <row r="223" spans="1:19" ht="18.75">
      <c r="A223" s="234"/>
      <c r="B223" s="84" t="s">
        <v>117</v>
      </c>
      <c r="C223" s="107" t="s">
        <v>135</v>
      </c>
      <c r="D223" s="240"/>
      <c r="E223" s="232"/>
      <c r="F223" s="231"/>
      <c r="G223" s="209"/>
      <c r="H223" s="209"/>
      <c r="I223" s="209"/>
      <c r="J223" s="230"/>
      <c r="K223" s="91"/>
      <c r="L223" s="227"/>
      <c r="M223" s="204"/>
      <c r="N223" s="209"/>
      <c r="O223" s="213"/>
      <c r="P223" s="209"/>
      <c r="Q223" s="204"/>
      <c r="R223" s="209"/>
      <c r="S223" s="199"/>
    </row>
    <row r="224" spans="1:19" ht="30">
      <c r="A224" s="234"/>
      <c r="B224" s="84" t="s">
        <v>52</v>
      </c>
      <c r="C224" s="107" t="s">
        <v>157</v>
      </c>
      <c r="D224" s="240"/>
      <c r="E224" s="232"/>
      <c r="F224" s="231"/>
      <c r="G224" s="209"/>
      <c r="H224" s="209"/>
      <c r="I224" s="209"/>
      <c r="J224" s="230"/>
      <c r="K224" s="91"/>
      <c r="L224" s="227"/>
      <c r="M224" s="204"/>
      <c r="N224" s="209"/>
      <c r="O224" s="213"/>
      <c r="P224" s="209"/>
      <c r="Q224" s="204"/>
      <c r="R224" s="209"/>
      <c r="S224" s="199"/>
    </row>
    <row r="225" spans="1:19" ht="18.75">
      <c r="A225" s="234"/>
      <c r="B225" s="84" t="s">
        <v>120</v>
      </c>
      <c r="C225" s="107" t="s">
        <v>121</v>
      </c>
      <c r="D225" s="240"/>
      <c r="E225" s="232"/>
      <c r="F225" s="231"/>
      <c r="G225" s="209"/>
      <c r="H225" s="209"/>
      <c r="I225" s="209"/>
      <c r="J225" s="230"/>
      <c r="K225" s="91"/>
      <c r="L225" s="227"/>
      <c r="M225" s="204"/>
      <c r="N225" s="209"/>
      <c r="O225" s="213"/>
      <c r="P225" s="209"/>
      <c r="Q225" s="204"/>
      <c r="R225" s="209"/>
      <c r="S225" s="199"/>
    </row>
    <row r="226" spans="1:19" ht="18.75">
      <c r="A226" s="234"/>
      <c r="B226" s="84" t="s">
        <v>54</v>
      </c>
      <c r="C226" s="107" t="s">
        <v>55</v>
      </c>
      <c r="D226" s="240"/>
      <c r="E226" s="232"/>
      <c r="F226" s="231"/>
      <c r="G226" s="209"/>
      <c r="H226" s="209"/>
      <c r="I226" s="209"/>
      <c r="J226" s="230"/>
      <c r="K226" s="91"/>
      <c r="L226" s="227"/>
      <c r="M226" s="204"/>
      <c r="N226" s="209"/>
      <c r="O226" s="213"/>
      <c r="P226" s="209"/>
      <c r="Q226" s="204"/>
      <c r="R226" s="209"/>
      <c r="S226" s="199"/>
    </row>
    <row r="227" spans="1:19" ht="18.75">
      <c r="A227" s="234"/>
      <c r="B227" s="84" t="s">
        <v>56</v>
      </c>
      <c r="C227" s="107" t="s">
        <v>152</v>
      </c>
      <c r="D227" s="240"/>
      <c r="E227" s="232"/>
      <c r="F227" s="231"/>
      <c r="G227" s="209"/>
      <c r="H227" s="209"/>
      <c r="I227" s="209"/>
      <c r="J227" s="230"/>
      <c r="K227" s="91"/>
      <c r="L227" s="227"/>
      <c r="M227" s="204"/>
      <c r="N227" s="209"/>
      <c r="O227" s="213"/>
      <c r="P227" s="209"/>
      <c r="Q227" s="204"/>
      <c r="R227" s="209"/>
      <c r="S227" s="199"/>
    </row>
    <row r="228" spans="1:19" ht="18.75">
      <c r="A228" s="234"/>
      <c r="B228" s="84" t="s">
        <v>58</v>
      </c>
      <c r="C228" s="107" t="s">
        <v>137</v>
      </c>
      <c r="D228" s="240"/>
      <c r="E228" s="232"/>
      <c r="F228" s="231"/>
      <c r="G228" s="209"/>
      <c r="H228" s="209"/>
      <c r="I228" s="209"/>
      <c r="J228" s="230"/>
      <c r="K228" s="91"/>
      <c r="L228" s="227"/>
      <c r="M228" s="204"/>
      <c r="N228" s="209"/>
      <c r="O228" s="213"/>
      <c r="P228" s="209"/>
      <c r="Q228" s="204"/>
      <c r="R228" s="209"/>
      <c r="S228" s="199"/>
    </row>
    <row r="229" spans="1:19" ht="18.75">
      <c r="A229" s="234"/>
      <c r="B229" s="84" t="s">
        <v>60</v>
      </c>
      <c r="C229" s="107" t="s">
        <v>123</v>
      </c>
      <c r="D229" s="240"/>
      <c r="E229" s="232"/>
      <c r="F229" s="231"/>
      <c r="G229" s="209"/>
      <c r="H229" s="209"/>
      <c r="I229" s="209"/>
      <c r="J229" s="230"/>
      <c r="K229" s="91"/>
      <c r="L229" s="227"/>
      <c r="M229" s="204"/>
      <c r="N229" s="209"/>
      <c r="O229" s="213"/>
      <c r="P229" s="209"/>
      <c r="Q229" s="204"/>
      <c r="R229" s="209"/>
      <c r="S229" s="199"/>
    </row>
    <row r="230" spans="1:19" ht="18.75">
      <c r="A230" s="234"/>
      <c r="B230" s="84" t="s">
        <v>124</v>
      </c>
      <c r="C230" s="107" t="s">
        <v>147</v>
      </c>
      <c r="D230" s="240"/>
      <c r="E230" s="232"/>
      <c r="F230" s="231"/>
      <c r="G230" s="209"/>
      <c r="H230" s="209"/>
      <c r="I230" s="209"/>
      <c r="J230" s="230"/>
      <c r="K230" s="91"/>
      <c r="L230" s="227"/>
      <c r="M230" s="204"/>
      <c r="N230" s="209"/>
      <c r="O230" s="213"/>
      <c r="P230" s="209"/>
      <c r="Q230" s="204"/>
      <c r="R230" s="209"/>
      <c r="S230" s="199"/>
    </row>
    <row r="231" spans="1:19" ht="18.75">
      <c r="A231" s="234"/>
      <c r="B231" s="84" t="s">
        <v>62</v>
      </c>
      <c r="C231" s="107" t="s">
        <v>159</v>
      </c>
      <c r="D231" s="240"/>
      <c r="E231" s="232"/>
      <c r="F231" s="231"/>
      <c r="G231" s="209"/>
      <c r="H231" s="209"/>
      <c r="I231" s="209"/>
      <c r="J231" s="230"/>
      <c r="K231" s="91"/>
      <c r="L231" s="227"/>
      <c r="M231" s="204"/>
      <c r="N231" s="209"/>
      <c r="O231" s="213"/>
      <c r="P231" s="209"/>
      <c r="Q231" s="204"/>
      <c r="R231" s="209"/>
      <c r="S231" s="199"/>
    </row>
    <row r="232" spans="1:19" ht="18.75">
      <c r="A232" s="234"/>
      <c r="B232" s="84" t="s">
        <v>66</v>
      </c>
      <c r="C232" s="107" t="s">
        <v>67</v>
      </c>
      <c r="D232" s="240"/>
      <c r="E232" s="232"/>
      <c r="F232" s="231"/>
      <c r="G232" s="209"/>
      <c r="H232" s="209"/>
      <c r="I232" s="209"/>
      <c r="J232" s="230"/>
      <c r="K232" s="91"/>
      <c r="L232" s="227"/>
      <c r="M232" s="204"/>
      <c r="N232" s="209"/>
      <c r="O232" s="213"/>
      <c r="P232" s="209"/>
      <c r="Q232" s="204"/>
      <c r="R232" s="209"/>
      <c r="S232" s="199"/>
    </row>
    <row r="233" spans="1:19" ht="18.75">
      <c r="A233" s="234"/>
      <c r="B233" s="84" t="s">
        <v>68</v>
      </c>
      <c r="C233" s="107" t="s">
        <v>69</v>
      </c>
      <c r="D233" s="240"/>
      <c r="E233" s="232"/>
      <c r="F233" s="231"/>
      <c r="G233" s="209"/>
      <c r="H233" s="209"/>
      <c r="I233" s="209"/>
      <c r="J233" s="230"/>
      <c r="K233" s="91"/>
      <c r="L233" s="227"/>
      <c r="M233" s="204"/>
      <c r="N233" s="209"/>
      <c r="O233" s="213"/>
      <c r="P233" s="209"/>
      <c r="Q233" s="204"/>
      <c r="R233" s="209"/>
      <c r="S233" s="199"/>
    </row>
    <row r="234" spans="1:19" ht="18.75">
      <c r="A234" s="234"/>
      <c r="B234" s="84" t="s">
        <v>70</v>
      </c>
      <c r="C234" s="107" t="s">
        <v>71</v>
      </c>
      <c r="D234" s="240"/>
      <c r="E234" s="232"/>
      <c r="F234" s="231"/>
      <c r="G234" s="209"/>
      <c r="H234" s="209"/>
      <c r="I234" s="209"/>
      <c r="J234" s="230"/>
      <c r="K234" s="91"/>
      <c r="L234" s="227"/>
      <c r="M234" s="204"/>
      <c r="N234" s="209"/>
      <c r="O234" s="213"/>
      <c r="P234" s="209"/>
      <c r="Q234" s="204"/>
      <c r="R234" s="209"/>
      <c r="S234" s="199"/>
    </row>
    <row r="235" spans="1:19" ht="18.75">
      <c r="A235" s="234"/>
      <c r="B235" s="84" t="s">
        <v>127</v>
      </c>
      <c r="C235" s="107" t="s">
        <v>128</v>
      </c>
      <c r="D235" s="240"/>
      <c r="E235" s="232"/>
      <c r="F235" s="231"/>
      <c r="G235" s="209"/>
      <c r="H235" s="209"/>
      <c r="I235" s="209"/>
      <c r="J235" s="230"/>
      <c r="K235" s="91"/>
      <c r="L235" s="227"/>
      <c r="M235" s="204"/>
      <c r="N235" s="209"/>
      <c r="O235" s="213"/>
      <c r="P235" s="209"/>
      <c r="Q235" s="204"/>
      <c r="R235" s="209"/>
      <c r="S235" s="199"/>
    </row>
    <row r="236" spans="1:19" ht="19.5" thickBot="1">
      <c r="A236" s="235"/>
      <c r="B236" s="87" t="s">
        <v>74</v>
      </c>
      <c r="C236" s="108" t="s">
        <v>75</v>
      </c>
      <c r="D236" s="240"/>
      <c r="E236" s="232"/>
      <c r="F236" s="231"/>
      <c r="G236" s="209"/>
      <c r="H236" s="209"/>
      <c r="I236" s="209"/>
      <c r="J236" s="230"/>
      <c r="K236" s="92"/>
      <c r="L236" s="228"/>
      <c r="M236" s="205"/>
      <c r="N236" s="210"/>
      <c r="O236" s="214"/>
      <c r="P236" s="210"/>
      <c r="Q236" s="205"/>
      <c r="R236" s="210"/>
      <c r="S236" s="200"/>
    </row>
    <row r="237" spans="1:19" ht="18.75">
      <c r="A237" s="239" t="s">
        <v>162</v>
      </c>
      <c r="B237" s="89" t="s">
        <v>48</v>
      </c>
      <c r="C237" s="106" t="s">
        <v>77</v>
      </c>
      <c r="D237" s="240">
        <v>100979.18980992</v>
      </c>
      <c r="E237" s="229">
        <v>31867</v>
      </c>
      <c r="F237" s="231">
        <f>E237/$F$2</f>
        <v>28969.999999999996</v>
      </c>
      <c r="G237" s="209">
        <v>34352.410000000003</v>
      </c>
      <c r="H237" s="209">
        <v>36367.83</v>
      </c>
      <c r="I237" s="209">
        <v>38130.18</v>
      </c>
      <c r="J237" s="230">
        <v>43167.81</v>
      </c>
      <c r="K237" s="90"/>
      <c r="L237" s="223">
        <f>G237-E237</f>
        <v>2485.4100000000035</v>
      </c>
      <c r="M237" s="215">
        <f>L237/$F$2</f>
        <v>2259.4636363636396</v>
      </c>
      <c r="N237" s="211">
        <f>H237-E237</f>
        <v>4500.8300000000017</v>
      </c>
      <c r="O237" s="217">
        <f>N237/$F$2</f>
        <v>4091.6636363636376</v>
      </c>
      <c r="P237" s="211">
        <f>I237-E237</f>
        <v>6263.18</v>
      </c>
      <c r="Q237" s="215">
        <f>P237/$F$2</f>
        <v>5693.8</v>
      </c>
      <c r="R237" s="211">
        <f>J237-E237</f>
        <v>11300.809999999998</v>
      </c>
      <c r="S237" s="198">
        <f>R237/$F$2</f>
        <v>10273.463636363633</v>
      </c>
    </row>
    <row r="238" spans="1:19" ht="18.75">
      <c r="A238" s="234"/>
      <c r="B238" s="84" t="s">
        <v>50</v>
      </c>
      <c r="C238" s="107" t="s">
        <v>163</v>
      </c>
      <c r="D238" s="240"/>
      <c r="E238" s="229"/>
      <c r="F238" s="231"/>
      <c r="G238" s="209"/>
      <c r="H238" s="209"/>
      <c r="I238" s="209"/>
      <c r="J238" s="230"/>
      <c r="K238" s="91"/>
      <c r="L238" s="221"/>
      <c r="M238" s="204"/>
      <c r="N238" s="209"/>
      <c r="O238" s="213"/>
      <c r="P238" s="209"/>
      <c r="Q238" s="204"/>
      <c r="R238" s="209"/>
      <c r="S238" s="199"/>
    </row>
    <row r="239" spans="1:19" ht="30.75" customHeight="1">
      <c r="A239" s="234"/>
      <c r="B239" s="84" t="s">
        <v>52</v>
      </c>
      <c r="C239" s="107" t="s">
        <v>53</v>
      </c>
      <c r="D239" s="240"/>
      <c r="E239" s="229"/>
      <c r="F239" s="231"/>
      <c r="G239" s="209"/>
      <c r="H239" s="209"/>
      <c r="I239" s="209"/>
      <c r="J239" s="230"/>
      <c r="K239" s="91"/>
      <c r="L239" s="221"/>
      <c r="M239" s="204"/>
      <c r="N239" s="209"/>
      <c r="O239" s="213"/>
      <c r="P239" s="209"/>
      <c r="Q239" s="204"/>
      <c r="R239" s="209"/>
      <c r="S239" s="199"/>
    </row>
    <row r="240" spans="1:19" ht="18.75">
      <c r="A240" s="234"/>
      <c r="B240" s="84" t="s">
        <v>120</v>
      </c>
      <c r="C240" s="107" t="s">
        <v>121</v>
      </c>
      <c r="D240" s="240"/>
      <c r="E240" s="229"/>
      <c r="F240" s="231"/>
      <c r="G240" s="209"/>
      <c r="H240" s="209"/>
      <c r="I240" s="209"/>
      <c r="J240" s="230"/>
      <c r="K240" s="91"/>
      <c r="L240" s="221"/>
      <c r="M240" s="204"/>
      <c r="N240" s="209"/>
      <c r="O240" s="213"/>
      <c r="P240" s="209"/>
      <c r="Q240" s="204"/>
      <c r="R240" s="209"/>
      <c r="S240" s="199"/>
    </row>
    <row r="241" spans="1:19" ht="18.75">
      <c r="A241" s="234"/>
      <c r="B241" s="84" t="s">
        <v>54</v>
      </c>
      <c r="C241" s="107" t="s">
        <v>55</v>
      </c>
      <c r="D241" s="240"/>
      <c r="E241" s="229"/>
      <c r="F241" s="231"/>
      <c r="G241" s="209"/>
      <c r="H241" s="209"/>
      <c r="I241" s="209"/>
      <c r="J241" s="230"/>
      <c r="K241" s="91"/>
      <c r="L241" s="221"/>
      <c r="M241" s="204"/>
      <c r="N241" s="209"/>
      <c r="O241" s="213"/>
      <c r="P241" s="209"/>
      <c r="Q241" s="204"/>
      <c r="R241" s="209"/>
      <c r="S241" s="199"/>
    </row>
    <row r="242" spans="1:19" ht="18.75">
      <c r="A242" s="234"/>
      <c r="B242" s="84" t="s">
        <v>56</v>
      </c>
      <c r="C242" s="107" t="s">
        <v>164</v>
      </c>
      <c r="D242" s="240"/>
      <c r="E242" s="229"/>
      <c r="F242" s="231"/>
      <c r="G242" s="209"/>
      <c r="H242" s="209"/>
      <c r="I242" s="209"/>
      <c r="J242" s="230"/>
      <c r="K242" s="91"/>
      <c r="L242" s="221"/>
      <c r="M242" s="204"/>
      <c r="N242" s="209"/>
      <c r="O242" s="213"/>
      <c r="P242" s="209"/>
      <c r="Q242" s="204"/>
      <c r="R242" s="209"/>
      <c r="S242" s="199"/>
    </row>
    <row r="243" spans="1:19" ht="18.75">
      <c r="A243" s="234"/>
      <c r="B243" s="84" t="s">
        <v>58</v>
      </c>
      <c r="C243" s="107" t="s">
        <v>165</v>
      </c>
      <c r="D243" s="240"/>
      <c r="E243" s="229"/>
      <c r="F243" s="231"/>
      <c r="G243" s="209"/>
      <c r="H243" s="209"/>
      <c r="I243" s="209"/>
      <c r="J243" s="230"/>
      <c r="K243" s="91"/>
      <c r="L243" s="221"/>
      <c r="M243" s="204"/>
      <c r="N243" s="209"/>
      <c r="O243" s="213"/>
      <c r="P243" s="209"/>
      <c r="Q243" s="204"/>
      <c r="R243" s="209"/>
      <c r="S243" s="199"/>
    </row>
    <row r="244" spans="1:19" ht="18.75">
      <c r="A244" s="234"/>
      <c r="B244" s="84" t="s">
        <v>60</v>
      </c>
      <c r="C244" s="107" t="s">
        <v>61</v>
      </c>
      <c r="D244" s="240"/>
      <c r="E244" s="229"/>
      <c r="F244" s="231"/>
      <c r="G244" s="209"/>
      <c r="H244" s="209"/>
      <c r="I244" s="209"/>
      <c r="J244" s="230"/>
      <c r="K244" s="91"/>
      <c r="L244" s="221"/>
      <c r="M244" s="204"/>
      <c r="N244" s="209"/>
      <c r="O244" s="213"/>
      <c r="P244" s="209"/>
      <c r="Q244" s="204"/>
      <c r="R244" s="209"/>
      <c r="S244" s="199"/>
    </row>
    <row r="245" spans="1:19" ht="18.75">
      <c r="A245" s="234"/>
      <c r="B245" s="84" t="s">
        <v>62</v>
      </c>
      <c r="C245" s="107" t="s">
        <v>166</v>
      </c>
      <c r="D245" s="240"/>
      <c r="E245" s="229"/>
      <c r="F245" s="231"/>
      <c r="G245" s="209"/>
      <c r="H245" s="209"/>
      <c r="I245" s="209"/>
      <c r="J245" s="230"/>
      <c r="K245" s="91"/>
      <c r="L245" s="221"/>
      <c r="M245" s="204"/>
      <c r="N245" s="209"/>
      <c r="O245" s="213"/>
      <c r="P245" s="209"/>
      <c r="Q245" s="204"/>
      <c r="R245" s="209"/>
      <c r="S245" s="199"/>
    </row>
    <row r="246" spans="1:19" ht="18.75">
      <c r="A246" s="234"/>
      <c r="B246" s="84" t="s">
        <v>64</v>
      </c>
      <c r="C246" s="107" t="s">
        <v>167</v>
      </c>
      <c r="D246" s="240"/>
      <c r="E246" s="229"/>
      <c r="F246" s="231"/>
      <c r="G246" s="209"/>
      <c r="H246" s="209"/>
      <c r="I246" s="209"/>
      <c r="J246" s="230"/>
      <c r="K246" s="91"/>
      <c r="L246" s="221"/>
      <c r="M246" s="204"/>
      <c r="N246" s="209"/>
      <c r="O246" s="213"/>
      <c r="P246" s="209"/>
      <c r="Q246" s="204"/>
      <c r="R246" s="209"/>
      <c r="S246" s="199"/>
    </row>
    <row r="247" spans="1:19" ht="18.75">
      <c r="A247" s="234"/>
      <c r="B247" s="84" t="s">
        <v>66</v>
      </c>
      <c r="C247" s="107" t="s">
        <v>82</v>
      </c>
      <c r="D247" s="240"/>
      <c r="E247" s="229"/>
      <c r="F247" s="231"/>
      <c r="G247" s="209"/>
      <c r="H247" s="209"/>
      <c r="I247" s="209"/>
      <c r="J247" s="230"/>
      <c r="K247" s="91"/>
      <c r="L247" s="221"/>
      <c r="M247" s="204"/>
      <c r="N247" s="209"/>
      <c r="O247" s="213"/>
      <c r="P247" s="209"/>
      <c r="Q247" s="204"/>
      <c r="R247" s="209"/>
      <c r="S247" s="199"/>
    </row>
    <row r="248" spans="1:19" ht="18.75">
      <c r="A248" s="234"/>
      <c r="B248" s="84" t="s">
        <v>68</v>
      </c>
      <c r="C248" s="107" t="s">
        <v>69</v>
      </c>
      <c r="D248" s="240"/>
      <c r="E248" s="229"/>
      <c r="F248" s="231"/>
      <c r="G248" s="209"/>
      <c r="H248" s="209"/>
      <c r="I248" s="209"/>
      <c r="J248" s="230"/>
      <c r="K248" s="91"/>
      <c r="L248" s="221"/>
      <c r="M248" s="204"/>
      <c r="N248" s="209"/>
      <c r="O248" s="213"/>
      <c r="P248" s="209"/>
      <c r="Q248" s="204"/>
      <c r="R248" s="209"/>
      <c r="S248" s="199"/>
    </row>
    <row r="249" spans="1:19" ht="18.75">
      <c r="A249" s="234"/>
      <c r="B249" s="84" t="s">
        <v>70</v>
      </c>
      <c r="C249" s="107" t="s">
        <v>71</v>
      </c>
      <c r="D249" s="240"/>
      <c r="E249" s="229"/>
      <c r="F249" s="231"/>
      <c r="G249" s="209"/>
      <c r="H249" s="209"/>
      <c r="I249" s="209"/>
      <c r="J249" s="230"/>
      <c r="K249" s="91"/>
      <c r="L249" s="221"/>
      <c r="M249" s="204"/>
      <c r="N249" s="209"/>
      <c r="O249" s="213"/>
      <c r="P249" s="209"/>
      <c r="Q249" s="204"/>
      <c r="R249" s="209"/>
      <c r="S249" s="199"/>
    </row>
    <row r="250" spans="1:19" ht="18.75">
      <c r="A250" s="234"/>
      <c r="B250" s="84" t="s">
        <v>72</v>
      </c>
      <c r="C250" s="107" t="s">
        <v>83</v>
      </c>
      <c r="D250" s="240"/>
      <c r="E250" s="229"/>
      <c r="F250" s="231"/>
      <c r="G250" s="209"/>
      <c r="H250" s="209"/>
      <c r="I250" s="209"/>
      <c r="J250" s="230"/>
      <c r="K250" s="91"/>
      <c r="L250" s="221"/>
      <c r="M250" s="204"/>
      <c r="N250" s="209"/>
      <c r="O250" s="213"/>
      <c r="P250" s="209"/>
      <c r="Q250" s="204"/>
      <c r="R250" s="209"/>
      <c r="S250" s="199"/>
    </row>
    <row r="251" spans="1:19" ht="19.5" thickBot="1">
      <c r="A251" s="235"/>
      <c r="B251" s="87" t="s">
        <v>74</v>
      </c>
      <c r="C251" s="108" t="s">
        <v>75</v>
      </c>
      <c r="D251" s="240"/>
      <c r="E251" s="229"/>
      <c r="F251" s="231"/>
      <c r="G251" s="209"/>
      <c r="H251" s="209"/>
      <c r="I251" s="209"/>
      <c r="J251" s="230"/>
      <c r="K251" s="92"/>
      <c r="L251" s="222"/>
      <c r="M251" s="205"/>
      <c r="N251" s="210"/>
      <c r="O251" s="214"/>
      <c r="P251" s="210"/>
      <c r="Q251" s="205"/>
      <c r="R251" s="210"/>
      <c r="S251" s="200"/>
    </row>
    <row r="252" spans="1:19" ht="18.75">
      <c r="A252" s="233" t="s">
        <v>168</v>
      </c>
      <c r="B252" s="88" t="s">
        <v>48</v>
      </c>
      <c r="C252" s="113" t="s">
        <v>77</v>
      </c>
      <c r="D252" s="240">
        <v>44007.15210336</v>
      </c>
      <c r="E252" s="229">
        <v>13891</v>
      </c>
      <c r="F252" s="231">
        <f>E252/$F$2</f>
        <v>12628.181818181818</v>
      </c>
      <c r="G252" s="209">
        <v>14969.75</v>
      </c>
      <c r="H252" s="209">
        <v>15847.22</v>
      </c>
      <c r="I252" s="209">
        <v>16614.52</v>
      </c>
      <c r="J252" s="230">
        <v>18807.8</v>
      </c>
      <c r="K252" s="91"/>
      <c r="L252" s="220">
        <f>G252-E252</f>
        <v>1078.75</v>
      </c>
      <c r="M252" s="203">
        <f>L252/$F$2</f>
        <v>980.68181818181813</v>
      </c>
      <c r="N252" s="208">
        <f>H252-E252</f>
        <v>1956.2199999999993</v>
      </c>
      <c r="O252" s="212">
        <f>N252/$F$2</f>
        <v>1778.3818181818174</v>
      </c>
      <c r="P252" s="208">
        <f>I252-E252</f>
        <v>2723.5200000000004</v>
      </c>
      <c r="Q252" s="203">
        <f>P252/$F$2</f>
        <v>2475.9272727272728</v>
      </c>
      <c r="R252" s="208">
        <f>J252-E252</f>
        <v>4916.7999999999993</v>
      </c>
      <c r="S252" s="202">
        <f>R252/$F$2</f>
        <v>4469.8181818181811</v>
      </c>
    </row>
    <row r="253" spans="1:19" ht="18.75">
      <c r="A253" s="234"/>
      <c r="B253" s="84" t="s">
        <v>50</v>
      </c>
      <c r="C253" s="107" t="s">
        <v>163</v>
      </c>
      <c r="D253" s="240"/>
      <c r="E253" s="229"/>
      <c r="F253" s="231"/>
      <c r="G253" s="209"/>
      <c r="H253" s="209"/>
      <c r="I253" s="209"/>
      <c r="J253" s="230"/>
      <c r="K253" s="91"/>
      <c r="L253" s="221"/>
      <c r="M253" s="204"/>
      <c r="N253" s="209"/>
      <c r="O253" s="213"/>
      <c r="P253" s="209"/>
      <c r="Q253" s="204"/>
      <c r="R253" s="209"/>
      <c r="S253" s="199"/>
    </row>
    <row r="254" spans="1:19" ht="30">
      <c r="A254" s="234"/>
      <c r="B254" s="84" t="s">
        <v>52</v>
      </c>
      <c r="C254" s="107" t="s">
        <v>97</v>
      </c>
      <c r="D254" s="240"/>
      <c r="E254" s="229"/>
      <c r="F254" s="231"/>
      <c r="G254" s="209"/>
      <c r="H254" s="209"/>
      <c r="I254" s="209"/>
      <c r="J254" s="230"/>
      <c r="K254" s="91"/>
      <c r="L254" s="221"/>
      <c r="M254" s="204"/>
      <c r="N254" s="209"/>
      <c r="O254" s="213"/>
      <c r="P254" s="209"/>
      <c r="Q254" s="204"/>
      <c r="R254" s="209"/>
      <c r="S254" s="199"/>
    </row>
    <row r="255" spans="1:19" ht="18.75">
      <c r="A255" s="234"/>
      <c r="B255" s="84" t="s">
        <v>120</v>
      </c>
      <c r="C255" s="107" t="s">
        <v>121</v>
      </c>
      <c r="D255" s="240"/>
      <c r="E255" s="229"/>
      <c r="F255" s="231"/>
      <c r="G255" s="209"/>
      <c r="H255" s="209"/>
      <c r="I255" s="209"/>
      <c r="J255" s="230"/>
      <c r="K255" s="91"/>
      <c r="L255" s="221"/>
      <c r="M255" s="204"/>
      <c r="N255" s="209"/>
      <c r="O255" s="213"/>
      <c r="P255" s="209"/>
      <c r="Q255" s="204"/>
      <c r="R255" s="209"/>
      <c r="S255" s="199"/>
    </row>
    <row r="256" spans="1:19" ht="18.75">
      <c r="A256" s="234"/>
      <c r="B256" s="84" t="s">
        <v>54</v>
      </c>
      <c r="C256" s="107" t="s">
        <v>55</v>
      </c>
      <c r="D256" s="240"/>
      <c r="E256" s="229"/>
      <c r="F256" s="231"/>
      <c r="G256" s="209"/>
      <c r="H256" s="209"/>
      <c r="I256" s="209"/>
      <c r="J256" s="230"/>
      <c r="K256" s="91"/>
      <c r="L256" s="221"/>
      <c r="M256" s="204"/>
      <c r="N256" s="209"/>
      <c r="O256" s="213"/>
      <c r="P256" s="209"/>
      <c r="Q256" s="204"/>
      <c r="R256" s="209"/>
      <c r="S256" s="199"/>
    </row>
    <row r="257" spans="1:19" ht="18.75">
      <c r="A257" s="234"/>
      <c r="B257" s="84" t="s">
        <v>56</v>
      </c>
      <c r="C257" s="107" t="s">
        <v>169</v>
      </c>
      <c r="D257" s="240"/>
      <c r="E257" s="229"/>
      <c r="F257" s="231"/>
      <c r="G257" s="209"/>
      <c r="H257" s="209"/>
      <c r="I257" s="209"/>
      <c r="J257" s="230"/>
      <c r="K257" s="91"/>
      <c r="L257" s="221"/>
      <c r="M257" s="204"/>
      <c r="N257" s="209"/>
      <c r="O257" s="213"/>
      <c r="P257" s="209"/>
      <c r="Q257" s="204"/>
      <c r="R257" s="209"/>
      <c r="S257" s="199"/>
    </row>
    <row r="258" spans="1:19" ht="18.75">
      <c r="A258" s="234"/>
      <c r="B258" s="84" t="s">
        <v>58</v>
      </c>
      <c r="C258" s="107" t="s">
        <v>170</v>
      </c>
      <c r="D258" s="240"/>
      <c r="E258" s="229"/>
      <c r="F258" s="231"/>
      <c r="G258" s="209"/>
      <c r="H258" s="209"/>
      <c r="I258" s="209"/>
      <c r="J258" s="230"/>
      <c r="K258" s="91"/>
      <c r="L258" s="221"/>
      <c r="M258" s="204"/>
      <c r="N258" s="209"/>
      <c r="O258" s="213"/>
      <c r="P258" s="209"/>
      <c r="Q258" s="204"/>
      <c r="R258" s="209"/>
      <c r="S258" s="199"/>
    </row>
    <row r="259" spans="1:19" ht="18.75">
      <c r="A259" s="234"/>
      <c r="B259" s="84" t="s">
        <v>60</v>
      </c>
      <c r="C259" s="107" t="s">
        <v>61</v>
      </c>
      <c r="D259" s="240"/>
      <c r="E259" s="229"/>
      <c r="F259" s="231"/>
      <c r="G259" s="209"/>
      <c r="H259" s="209"/>
      <c r="I259" s="209"/>
      <c r="J259" s="230"/>
      <c r="K259" s="91"/>
      <c r="L259" s="221"/>
      <c r="M259" s="204"/>
      <c r="N259" s="209"/>
      <c r="O259" s="213"/>
      <c r="P259" s="209"/>
      <c r="Q259" s="204"/>
      <c r="R259" s="209"/>
      <c r="S259" s="199"/>
    </row>
    <row r="260" spans="1:19" ht="18.75">
      <c r="A260" s="234"/>
      <c r="B260" s="84" t="s">
        <v>62</v>
      </c>
      <c r="C260" s="107" t="s">
        <v>171</v>
      </c>
      <c r="D260" s="240"/>
      <c r="E260" s="229"/>
      <c r="F260" s="231"/>
      <c r="G260" s="209"/>
      <c r="H260" s="209"/>
      <c r="I260" s="209"/>
      <c r="J260" s="230"/>
      <c r="K260" s="91"/>
      <c r="L260" s="221"/>
      <c r="M260" s="204"/>
      <c r="N260" s="209"/>
      <c r="O260" s="213"/>
      <c r="P260" s="209"/>
      <c r="Q260" s="204"/>
      <c r="R260" s="209"/>
      <c r="S260" s="199"/>
    </row>
    <row r="261" spans="1:19" ht="18.75">
      <c r="A261" s="234"/>
      <c r="B261" s="84" t="s">
        <v>64</v>
      </c>
      <c r="C261" s="107" t="s">
        <v>167</v>
      </c>
      <c r="D261" s="240"/>
      <c r="E261" s="229"/>
      <c r="F261" s="231"/>
      <c r="G261" s="209"/>
      <c r="H261" s="209"/>
      <c r="I261" s="209"/>
      <c r="J261" s="230"/>
      <c r="K261" s="91"/>
      <c r="L261" s="221"/>
      <c r="M261" s="204"/>
      <c r="N261" s="209"/>
      <c r="O261" s="213"/>
      <c r="P261" s="209"/>
      <c r="Q261" s="204"/>
      <c r="R261" s="209"/>
      <c r="S261" s="199"/>
    </row>
    <row r="262" spans="1:19" ht="18.75">
      <c r="A262" s="234"/>
      <c r="B262" s="84" t="s">
        <v>66</v>
      </c>
      <c r="C262" s="107" t="s">
        <v>82</v>
      </c>
      <c r="D262" s="240"/>
      <c r="E262" s="229"/>
      <c r="F262" s="231"/>
      <c r="G262" s="209"/>
      <c r="H262" s="209"/>
      <c r="I262" s="209"/>
      <c r="J262" s="230"/>
      <c r="K262" s="91"/>
      <c r="L262" s="221"/>
      <c r="M262" s="204"/>
      <c r="N262" s="209"/>
      <c r="O262" s="213"/>
      <c r="P262" s="209"/>
      <c r="Q262" s="204"/>
      <c r="R262" s="209"/>
      <c r="S262" s="199"/>
    </row>
    <row r="263" spans="1:19" ht="18.75">
      <c r="A263" s="234"/>
      <c r="B263" s="84" t="s">
        <v>68</v>
      </c>
      <c r="C263" s="107" t="s">
        <v>69</v>
      </c>
      <c r="D263" s="240"/>
      <c r="E263" s="229"/>
      <c r="F263" s="231"/>
      <c r="G263" s="209"/>
      <c r="H263" s="209"/>
      <c r="I263" s="209"/>
      <c r="J263" s="230"/>
      <c r="K263" s="91"/>
      <c r="L263" s="221"/>
      <c r="M263" s="204"/>
      <c r="N263" s="209"/>
      <c r="O263" s="213"/>
      <c r="P263" s="209"/>
      <c r="Q263" s="204"/>
      <c r="R263" s="209"/>
      <c r="S263" s="199"/>
    </row>
    <row r="264" spans="1:19" ht="18.75">
      <c r="A264" s="234"/>
      <c r="B264" s="84" t="s">
        <v>70</v>
      </c>
      <c r="C264" s="107" t="s">
        <v>71</v>
      </c>
      <c r="D264" s="240"/>
      <c r="E264" s="229"/>
      <c r="F264" s="231"/>
      <c r="G264" s="209"/>
      <c r="H264" s="209"/>
      <c r="I264" s="209"/>
      <c r="J264" s="230"/>
      <c r="K264" s="91"/>
      <c r="L264" s="221"/>
      <c r="M264" s="204"/>
      <c r="N264" s="209"/>
      <c r="O264" s="213"/>
      <c r="P264" s="209"/>
      <c r="Q264" s="204"/>
      <c r="R264" s="209"/>
      <c r="S264" s="199"/>
    </row>
    <row r="265" spans="1:19" ht="18.75">
      <c r="A265" s="234"/>
      <c r="B265" s="84" t="s">
        <v>72</v>
      </c>
      <c r="C265" s="107" t="s">
        <v>172</v>
      </c>
      <c r="D265" s="240"/>
      <c r="E265" s="229"/>
      <c r="F265" s="231"/>
      <c r="G265" s="209"/>
      <c r="H265" s="209"/>
      <c r="I265" s="209"/>
      <c r="J265" s="230"/>
      <c r="K265" s="91"/>
      <c r="L265" s="221"/>
      <c r="M265" s="204"/>
      <c r="N265" s="209"/>
      <c r="O265" s="213"/>
      <c r="P265" s="209"/>
      <c r="Q265" s="204"/>
      <c r="R265" s="209"/>
      <c r="S265" s="199"/>
    </row>
    <row r="266" spans="1:19" ht="19.5" thickBot="1">
      <c r="A266" s="235"/>
      <c r="B266" s="87" t="s">
        <v>74</v>
      </c>
      <c r="C266" s="108" t="s">
        <v>75</v>
      </c>
      <c r="D266" s="241"/>
      <c r="E266" s="238"/>
      <c r="F266" s="237"/>
      <c r="G266" s="210"/>
      <c r="H266" s="210"/>
      <c r="I266" s="210"/>
      <c r="J266" s="236"/>
      <c r="K266" s="91"/>
      <c r="L266" s="222"/>
      <c r="M266" s="205"/>
      <c r="N266" s="210"/>
      <c r="O266" s="214"/>
      <c r="P266" s="210"/>
      <c r="Q266" s="205"/>
      <c r="R266" s="210"/>
      <c r="S266" s="200"/>
    </row>
  </sheetData>
  <mergeCells count="294">
    <mergeCell ref="F61:F74"/>
    <mergeCell ref="G61:G74"/>
    <mergeCell ref="H61:H74"/>
    <mergeCell ref="I61:I74"/>
    <mergeCell ref="G47:G60"/>
    <mergeCell ref="H47:H60"/>
    <mergeCell ref="I47:I60"/>
    <mergeCell ref="C1:C2"/>
    <mergeCell ref="E5:E18"/>
    <mergeCell ref="F5:F18"/>
    <mergeCell ref="G5:G18"/>
    <mergeCell ref="L3:M3"/>
    <mergeCell ref="G75:G88"/>
    <mergeCell ref="F75:F88"/>
    <mergeCell ref="L61:L74"/>
    <mergeCell ref="L19:L32"/>
    <mergeCell ref="I75:I88"/>
    <mergeCell ref="H75:H88"/>
    <mergeCell ref="D19:D32"/>
    <mergeCell ref="D33:D46"/>
    <mergeCell ref="D47:D60"/>
    <mergeCell ref="D61:D74"/>
    <mergeCell ref="D75:D88"/>
    <mergeCell ref="I33:I46"/>
    <mergeCell ref="J33:J46"/>
    <mergeCell ref="J47:J60"/>
    <mergeCell ref="J75:J88"/>
    <mergeCell ref="E61:E74"/>
    <mergeCell ref="A75:A88"/>
    <mergeCell ref="E75:E88"/>
    <mergeCell ref="H5:H18"/>
    <mergeCell ref="I5:I18"/>
    <mergeCell ref="J5:J18"/>
    <mergeCell ref="A5:A18"/>
    <mergeCell ref="A19:A32"/>
    <mergeCell ref="E19:E32"/>
    <mergeCell ref="F19:F32"/>
    <mergeCell ref="G19:G32"/>
    <mergeCell ref="H19:H32"/>
    <mergeCell ref="I19:I32"/>
    <mergeCell ref="J19:J32"/>
    <mergeCell ref="D5:D18"/>
    <mergeCell ref="A33:A46"/>
    <mergeCell ref="E33:E46"/>
    <mergeCell ref="F33:F46"/>
    <mergeCell ref="G33:G46"/>
    <mergeCell ref="H33:H46"/>
    <mergeCell ref="A61:A74"/>
    <mergeCell ref="J61:J74"/>
    <mergeCell ref="A47:A60"/>
    <mergeCell ref="E47:E60"/>
    <mergeCell ref="F47:F60"/>
    <mergeCell ref="A103:A116"/>
    <mergeCell ref="J103:J116"/>
    <mergeCell ref="I103:I116"/>
    <mergeCell ref="H103:H116"/>
    <mergeCell ref="G103:G116"/>
    <mergeCell ref="F103:F116"/>
    <mergeCell ref="E103:E116"/>
    <mergeCell ref="J89:J102"/>
    <mergeCell ref="I89:I102"/>
    <mergeCell ref="H89:H102"/>
    <mergeCell ref="G89:G102"/>
    <mergeCell ref="F89:F102"/>
    <mergeCell ref="A89:A102"/>
    <mergeCell ref="E89:E102"/>
    <mergeCell ref="D89:D102"/>
    <mergeCell ref="D103:D116"/>
    <mergeCell ref="A132:A146"/>
    <mergeCell ref="J132:J146"/>
    <mergeCell ref="I132:I146"/>
    <mergeCell ref="H132:H146"/>
    <mergeCell ref="G132:G146"/>
    <mergeCell ref="F132:F146"/>
    <mergeCell ref="E132:E146"/>
    <mergeCell ref="A117:A131"/>
    <mergeCell ref="J117:J131"/>
    <mergeCell ref="I117:I131"/>
    <mergeCell ref="H117:H131"/>
    <mergeCell ref="G117:G131"/>
    <mergeCell ref="F117:F131"/>
    <mergeCell ref="E117:E131"/>
    <mergeCell ref="D132:D146"/>
    <mergeCell ref="D117:D131"/>
    <mergeCell ref="A162:A176"/>
    <mergeCell ref="J162:J176"/>
    <mergeCell ref="I162:I176"/>
    <mergeCell ref="H162:H176"/>
    <mergeCell ref="G162:G176"/>
    <mergeCell ref="F162:F176"/>
    <mergeCell ref="E162:E176"/>
    <mergeCell ref="A147:A161"/>
    <mergeCell ref="J147:J161"/>
    <mergeCell ref="I147:I161"/>
    <mergeCell ref="H147:H161"/>
    <mergeCell ref="G147:G161"/>
    <mergeCell ref="F147:F161"/>
    <mergeCell ref="E147:E161"/>
    <mergeCell ref="D147:D161"/>
    <mergeCell ref="D162:D176"/>
    <mergeCell ref="A207:A221"/>
    <mergeCell ref="J207:J221"/>
    <mergeCell ref="I207:I221"/>
    <mergeCell ref="H207:H221"/>
    <mergeCell ref="G207:G221"/>
    <mergeCell ref="F207:F221"/>
    <mergeCell ref="E207:E221"/>
    <mergeCell ref="A177:A191"/>
    <mergeCell ref="J177:J191"/>
    <mergeCell ref="I177:I191"/>
    <mergeCell ref="H177:H191"/>
    <mergeCell ref="G177:G191"/>
    <mergeCell ref="F177:F191"/>
    <mergeCell ref="E177:E191"/>
    <mergeCell ref="D177:D191"/>
    <mergeCell ref="D192:D206"/>
    <mergeCell ref="D207:D221"/>
    <mergeCell ref="A192:A206"/>
    <mergeCell ref="G222:G236"/>
    <mergeCell ref="F222:F236"/>
    <mergeCell ref="A252:A266"/>
    <mergeCell ref="J252:J266"/>
    <mergeCell ref="I252:I266"/>
    <mergeCell ref="H252:H266"/>
    <mergeCell ref="G252:G266"/>
    <mergeCell ref="F252:F266"/>
    <mergeCell ref="E252:E266"/>
    <mergeCell ref="A237:A251"/>
    <mergeCell ref="A222:A236"/>
    <mergeCell ref="D222:D236"/>
    <mergeCell ref="D237:D251"/>
    <mergeCell ref="D252:D266"/>
    <mergeCell ref="N61:N74"/>
    <mergeCell ref="P61:P74"/>
    <mergeCell ref="R61:R74"/>
    <mergeCell ref="L47:L60"/>
    <mergeCell ref="N47:N60"/>
    <mergeCell ref="P47:P60"/>
    <mergeCell ref="M61:M74"/>
    <mergeCell ref="E237:E251"/>
    <mergeCell ref="J237:J251"/>
    <mergeCell ref="I237:I251"/>
    <mergeCell ref="H237:H251"/>
    <mergeCell ref="G237:G251"/>
    <mergeCell ref="F237:F251"/>
    <mergeCell ref="E222:E236"/>
    <mergeCell ref="J192:J206"/>
    <mergeCell ref="I192:I206"/>
    <mergeCell ref="H192:H206"/>
    <mergeCell ref="G192:G206"/>
    <mergeCell ref="F192:F206"/>
    <mergeCell ref="E192:E206"/>
    <mergeCell ref="J222:J236"/>
    <mergeCell ref="I222:I236"/>
    <mergeCell ref="H222:H236"/>
    <mergeCell ref="L75:L88"/>
    <mergeCell ref="N75:N88"/>
    <mergeCell ref="P75:P88"/>
    <mergeCell ref="R75:R88"/>
    <mergeCell ref="L89:L102"/>
    <mergeCell ref="N89:N102"/>
    <mergeCell ref="P89:P102"/>
    <mergeCell ref="R89:R102"/>
    <mergeCell ref="M75:M88"/>
    <mergeCell ref="M89:M102"/>
    <mergeCell ref="N103:N116"/>
    <mergeCell ref="P103:P116"/>
    <mergeCell ref="R103:R116"/>
    <mergeCell ref="L117:L131"/>
    <mergeCell ref="N117:N131"/>
    <mergeCell ref="P117:P131"/>
    <mergeCell ref="R117:R131"/>
    <mergeCell ref="M103:M116"/>
    <mergeCell ref="M117:M131"/>
    <mergeCell ref="L103:L116"/>
    <mergeCell ref="L132:L146"/>
    <mergeCell ref="N132:N146"/>
    <mergeCell ref="P132:P146"/>
    <mergeCell ref="R132:R146"/>
    <mergeCell ref="L147:L161"/>
    <mergeCell ref="N147:N161"/>
    <mergeCell ref="P147:P161"/>
    <mergeCell ref="R147:R161"/>
    <mergeCell ref="M132:M146"/>
    <mergeCell ref="M147:M161"/>
    <mergeCell ref="N162:N176"/>
    <mergeCell ref="P162:P176"/>
    <mergeCell ref="R162:R176"/>
    <mergeCell ref="L177:L191"/>
    <mergeCell ref="N177:N191"/>
    <mergeCell ref="P177:P191"/>
    <mergeCell ref="R177:R191"/>
    <mergeCell ref="M162:M176"/>
    <mergeCell ref="M177:M191"/>
    <mergeCell ref="L237:L251"/>
    <mergeCell ref="N237:N251"/>
    <mergeCell ref="P237:P251"/>
    <mergeCell ref="R237:R251"/>
    <mergeCell ref="M222:M236"/>
    <mergeCell ref="M237:M251"/>
    <mergeCell ref="O222:O236"/>
    <mergeCell ref="O237:O251"/>
    <mergeCell ref="Q222:Q236"/>
    <mergeCell ref="Q237:Q251"/>
    <mergeCell ref="N19:N32"/>
    <mergeCell ref="P19:P32"/>
    <mergeCell ref="R19:R32"/>
    <mergeCell ref="L33:L46"/>
    <mergeCell ref="N33:N46"/>
    <mergeCell ref="P33:P46"/>
    <mergeCell ref="R33:R46"/>
    <mergeCell ref="L222:L236"/>
    <mergeCell ref="N222:N236"/>
    <mergeCell ref="P222:P236"/>
    <mergeCell ref="R222:R236"/>
    <mergeCell ref="L192:L206"/>
    <mergeCell ref="N192:N206"/>
    <mergeCell ref="P192:P206"/>
    <mergeCell ref="R192:R206"/>
    <mergeCell ref="L207:L221"/>
    <mergeCell ref="N207:N221"/>
    <mergeCell ref="P207:P221"/>
    <mergeCell ref="R207:R221"/>
    <mergeCell ref="M192:M206"/>
    <mergeCell ref="M207:M221"/>
    <mergeCell ref="O192:O206"/>
    <mergeCell ref="O207:O221"/>
    <mergeCell ref="L162:L176"/>
    <mergeCell ref="M252:M266"/>
    <mergeCell ref="N4:O4"/>
    <mergeCell ref="O5:O18"/>
    <mergeCell ref="O19:O32"/>
    <mergeCell ref="O33:O46"/>
    <mergeCell ref="O47:O60"/>
    <mergeCell ref="O61:O74"/>
    <mergeCell ref="O75:O88"/>
    <mergeCell ref="O89:O102"/>
    <mergeCell ref="O103:O116"/>
    <mergeCell ref="O117:O131"/>
    <mergeCell ref="O132:O146"/>
    <mergeCell ref="O147:O161"/>
    <mergeCell ref="O162:O176"/>
    <mergeCell ref="O177:O191"/>
    <mergeCell ref="L4:M4"/>
    <mergeCell ref="M5:M18"/>
    <mergeCell ref="M19:M32"/>
    <mergeCell ref="M33:M46"/>
    <mergeCell ref="M47:M60"/>
    <mergeCell ref="L252:L266"/>
    <mergeCell ref="N252:N266"/>
    <mergeCell ref="L5:L18"/>
    <mergeCell ref="N5:N18"/>
    <mergeCell ref="O252:O266"/>
    <mergeCell ref="P4:Q4"/>
    <mergeCell ref="Q5:Q18"/>
    <mergeCell ref="Q19:Q32"/>
    <mergeCell ref="Q33:Q46"/>
    <mergeCell ref="Q47:Q60"/>
    <mergeCell ref="Q61:Q74"/>
    <mergeCell ref="Q75:Q88"/>
    <mergeCell ref="Q89:Q102"/>
    <mergeCell ref="Q103:Q116"/>
    <mergeCell ref="Q117:Q131"/>
    <mergeCell ref="Q132:Q146"/>
    <mergeCell ref="Q147:Q161"/>
    <mergeCell ref="Q162:Q176"/>
    <mergeCell ref="Q177:Q191"/>
    <mergeCell ref="P252:P266"/>
    <mergeCell ref="P5:P18"/>
    <mergeCell ref="Q192:Q206"/>
    <mergeCell ref="Q207:Q221"/>
    <mergeCell ref="S192:S206"/>
    <mergeCell ref="S207:S221"/>
    <mergeCell ref="S222:S236"/>
    <mergeCell ref="S237:S251"/>
    <mergeCell ref="S252:S266"/>
    <mergeCell ref="Q252:Q266"/>
    <mergeCell ref="R4:S4"/>
    <mergeCell ref="S5:S18"/>
    <mergeCell ref="S19:S32"/>
    <mergeCell ref="S33:S46"/>
    <mergeCell ref="S47:S60"/>
    <mergeCell ref="S61:S74"/>
    <mergeCell ref="S75:S88"/>
    <mergeCell ref="S89:S102"/>
    <mergeCell ref="S103:S116"/>
    <mergeCell ref="S117:S131"/>
    <mergeCell ref="S132:S146"/>
    <mergeCell ref="S147:S161"/>
    <mergeCell ref="S162:S176"/>
    <mergeCell ref="S177:S191"/>
    <mergeCell ref="R252:R266"/>
    <mergeCell ref="R5:R18"/>
    <mergeCell ref="R47:R60"/>
  </mergeCells>
  <pageMargins left="0.7" right="0.7" top="0.75" bottom="0.75" header="0.3" footer="0.3"/>
  <pageSetup orientation="portrait" r:id="rId1"/>
  <headerFooter>
    <oddFooter>&amp;L&amp;1#&amp;"Calibri"&amp;7&amp;K737373Internal Use - Confidential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319E1-2A04-43B7-A612-E9F0D564C222}">
  <sheetPr>
    <tabColor rgb="FF00B050"/>
  </sheetPr>
  <dimension ref="A2:H151"/>
  <sheetViews>
    <sheetView workbookViewId="0">
      <selection activeCell="J42" sqref="J42"/>
    </sheetView>
  </sheetViews>
  <sheetFormatPr defaultRowHeight="15"/>
  <cols>
    <col min="1" max="2" width="9.140625" style="105"/>
    <col min="3" max="3" width="76.28515625" style="105" bestFit="1" customWidth="1"/>
    <col min="4" max="5" width="9.140625" style="105"/>
    <col min="6" max="6" width="11.85546875" style="105" customWidth="1"/>
    <col min="7" max="7" width="15.28515625" style="105" customWidth="1"/>
    <col min="8" max="8" width="10.7109375" style="105" customWidth="1"/>
    <col min="9" max="16384" width="9.140625" style="105"/>
  </cols>
  <sheetData>
    <row r="2" spans="1:8">
      <c r="B2" s="105" t="s">
        <v>173</v>
      </c>
    </row>
    <row r="3" spans="1:8">
      <c r="A3" s="98"/>
      <c r="B3" s="69" t="s">
        <v>174</v>
      </c>
      <c r="C3" s="69"/>
      <c r="D3" s="69"/>
      <c r="E3" s="69"/>
    </row>
    <row r="4" spans="1:8">
      <c r="A4" s="99"/>
      <c r="B4" s="70"/>
      <c r="C4" s="71"/>
      <c r="D4" s="71"/>
      <c r="E4" s="71"/>
    </row>
    <row r="5" spans="1:8">
      <c r="A5" s="100"/>
      <c r="B5" s="118" t="s">
        <v>175</v>
      </c>
      <c r="C5" s="119" t="s">
        <v>176</v>
      </c>
      <c r="D5" s="119" t="s">
        <v>177</v>
      </c>
      <c r="E5" s="119" t="s">
        <v>178</v>
      </c>
      <c r="F5" s="120" t="s">
        <v>179</v>
      </c>
      <c r="G5" s="120" t="s">
        <v>180</v>
      </c>
      <c r="H5" s="120" t="s">
        <v>181</v>
      </c>
    </row>
    <row r="6" spans="1:8">
      <c r="A6" s="100"/>
      <c r="B6" s="121"/>
      <c r="C6" s="121"/>
      <c r="D6" s="121"/>
      <c r="E6" s="121"/>
      <c r="F6" s="122"/>
      <c r="G6" s="123"/>
      <c r="H6" s="123"/>
    </row>
    <row r="7" spans="1:8" ht="16.5">
      <c r="A7" s="100"/>
      <c r="B7" s="74" t="s">
        <v>182</v>
      </c>
      <c r="C7" s="74" t="s">
        <v>183</v>
      </c>
      <c r="D7" s="74" t="s">
        <v>184</v>
      </c>
      <c r="E7" s="75">
        <v>1</v>
      </c>
      <c r="F7" s="124">
        <v>5251.15</v>
      </c>
      <c r="G7" s="125">
        <v>2363.02</v>
      </c>
      <c r="H7" s="126">
        <v>0.55000000000000004</v>
      </c>
    </row>
    <row r="8" spans="1:8" ht="16.5">
      <c r="A8" s="100"/>
      <c r="B8" s="74" t="s">
        <v>185</v>
      </c>
      <c r="C8" s="74" t="s">
        <v>186</v>
      </c>
      <c r="D8" s="74" t="s">
        <v>184</v>
      </c>
      <c r="E8" s="75">
        <v>1</v>
      </c>
      <c r="F8" s="124">
        <v>11403.52</v>
      </c>
      <c r="G8" s="125">
        <v>5131.58</v>
      </c>
      <c r="H8" s="126">
        <v>0.55000000000000004</v>
      </c>
    </row>
    <row r="9" spans="1:8" ht="16.5">
      <c r="A9" s="100"/>
      <c r="B9" s="74" t="s">
        <v>187</v>
      </c>
      <c r="C9" s="74" t="s">
        <v>188</v>
      </c>
      <c r="D9" s="74" t="s">
        <v>184</v>
      </c>
      <c r="E9" s="75">
        <v>1</v>
      </c>
      <c r="F9" s="124">
        <v>21812.55</v>
      </c>
      <c r="G9" s="125">
        <v>9815.65</v>
      </c>
      <c r="H9" s="126">
        <v>0.55000000000000004</v>
      </c>
    </row>
    <row r="10" spans="1:8" ht="16.5">
      <c r="A10" s="100"/>
      <c r="B10" s="74" t="s">
        <v>189</v>
      </c>
      <c r="C10" s="74" t="s">
        <v>190</v>
      </c>
      <c r="D10" s="74" t="s">
        <v>184</v>
      </c>
      <c r="E10" s="75">
        <v>1</v>
      </c>
      <c r="F10" s="124">
        <v>21405.86</v>
      </c>
      <c r="G10" s="125">
        <v>9632.64</v>
      </c>
      <c r="H10" s="126">
        <v>0.55000000000000004</v>
      </c>
    </row>
    <row r="11" spans="1:8" ht="16.5">
      <c r="A11" s="100"/>
      <c r="B11" s="74" t="s">
        <v>191</v>
      </c>
      <c r="C11" s="74" t="s">
        <v>192</v>
      </c>
      <c r="D11" s="74" t="s">
        <v>184</v>
      </c>
      <c r="E11" s="75">
        <v>1</v>
      </c>
      <c r="F11" s="124">
        <v>3494.26</v>
      </c>
      <c r="G11" s="125">
        <v>1572.42</v>
      </c>
      <c r="H11" s="126">
        <v>0.55000000000000004</v>
      </c>
    </row>
    <row r="12" spans="1:8" ht="16.5">
      <c r="A12" s="100"/>
      <c r="B12" s="74" t="s">
        <v>193</v>
      </c>
      <c r="C12" s="74" t="s">
        <v>194</v>
      </c>
      <c r="D12" s="74" t="s">
        <v>184</v>
      </c>
      <c r="E12" s="75">
        <v>1</v>
      </c>
      <c r="F12" s="124">
        <v>3744.78</v>
      </c>
      <c r="G12" s="125">
        <v>1685.15</v>
      </c>
      <c r="H12" s="126">
        <v>0.55000000000000004</v>
      </c>
    </row>
    <row r="13" spans="1:8" ht="16.5">
      <c r="A13" s="100"/>
      <c r="B13" s="74" t="s">
        <v>195</v>
      </c>
      <c r="C13" s="74" t="s">
        <v>196</v>
      </c>
      <c r="D13" s="74" t="s">
        <v>184</v>
      </c>
      <c r="E13" s="75">
        <v>1</v>
      </c>
      <c r="F13" s="127">
        <v>625.76</v>
      </c>
      <c r="G13" s="128">
        <v>281.58999999999997</v>
      </c>
      <c r="H13" s="126">
        <v>0.55000000000000004</v>
      </c>
    </row>
    <row r="14" spans="1:8" ht="16.5">
      <c r="A14" s="100"/>
      <c r="B14" s="74" t="s">
        <v>195</v>
      </c>
      <c r="C14" s="74" t="s">
        <v>196</v>
      </c>
      <c r="D14" s="74" t="s">
        <v>184</v>
      </c>
      <c r="E14" s="75">
        <v>1</v>
      </c>
      <c r="F14" s="127">
        <v>625.76</v>
      </c>
      <c r="G14" s="128">
        <v>281.58999999999997</v>
      </c>
      <c r="H14" s="126">
        <v>0.55000000000000004</v>
      </c>
    </row>
    <row r="15" spans="1:8" ht="16.5">
      <c r="A15" s="100"/>
      <c r="B15" s="74" t="s">
        <v>197</v>
      </c>
      <c r="C15" s="74" t="s">
        <v>198</v>
      </c>
      <c r="D15" s="74" t="s">
        <v>184</v>
      </c>
      <c r="E15" s="75">
        <v>1</v>
      </c>
      <c r="F15" s="124">
        <v>5415.99</v>
      </c>
      <c r="G15" s="125">
        <v>2437.1999999999998</v>
      </c>
      <c r="H15" s="126">
        <v>0.55000000000000004</v>
      </c>
    </row>
    <row r="16" spans="1:8" ht="16.5">
      <c r="A16" s="100"/>
      <c r="B16" s="74" t="s">
        <v>199</v>
      </c>
      <c r="C16" s="74" t="s">
        <v>200</v>
      </c>
      <c r="D16" s="74" t="s">
        <v>184</v>
      </c>
      <c r="E16" s="75">
        <v>1</v>
      </c>
      <c r="F16" s="124">
        <v>4811.93</v>
      </c>
      <c r="G16" s="125">
        <v>2165.37</v>
      </c>
      <c r="H16" s="126">
        <v>0.55000000000000004</v>
      </c>
    </row>
    <row r="17" spans="1:8" ht="16.5">
      <c r="A17" s="100"/>
      <c r="B17" s="74" t="s">
        <v>201</v>
      </c>
      <c r="C17" s="74" t="s">
        <v>202</v>
      </c>
      <c r="D17" s="74" t="s">
        <v>184</v>
      </c>
      <c r="E17" s="75">
        <v>1</v>
      </c>
      <c r="F17" s="124">
        <v>19643.55</v>
      </c>
      <c r="G17" s="125">
        <v>8839.6</v>
      </c>
      <c r="H17" s="126">
        <v>0.55000000000000004</v>
      </c>
    </row>
    <row r="18" spans="1:8" ht="16.5">
      <c r="A18" s="100"/>
      <c r="B18" s="74" t="s">
        <v>203</v>
      </c>
      <c r="C18" s="74" t="s">
        <v>204</v>
      </c>
      <c r="D18" s="74" t="s">
        <v>184</v>
      </c>
      <c r="E18" s="75">
        <v>1</v>
      </c>
      <c r="F18" s="124">
        <v>11623.67</v>
      </c>
      <c r="G18" s="125">
        <v>5230.6499999999996</v>
      </c>
      <c r="H18" s="126">
        <v>0.55000000000000004</v>
      </c>
    </row>
    <row r="19" spans="1:8" ht="16.5">
      <c r="A19" s="100"/>
      <c r="B19" s="74" t="s">
        <v>203</v>
      </c>
      <c r="C19" s="74" t="s">
        <v>204</v>
      </c>
      <c r="D19" s="74" t="s">
        <v>184</v>
      </c>
      <c r="E19" s="75">
        <v>1</v>
      </c>
      <c r="F19" s="124">
        <v>11623.67</v>
      </c>
      <c r="G19" s="125">
        <v>5230.6499999999996</v>
      </c>
      <c r="H19" s="126">
        <v>0.55000000000000004</v>
      </c>
    </row>
    <row r="20" spans="1:8" ht="16.5">
      <c r="A20" s="100"/>
      <c r="B20" s="74" t="s">
        <v>205</v>
      </c>
      <c r="C20" s="74" t="s">
        <v>206</v>
      </c>
      <c r="D20" s="74" t="s">
        <v>184</v>
      </c>
      <c r="E20" s="75">
        <v>1</v>
      </c>
      <c r="F20" s="124">
        <v>1021.6</v>
      </c>
      <c r="G20" s="125">
        <v>459.72</v>
      </c>
      <c r="H20" s="126">
        <v>0.55000000000000004</v>
      </c>
    </row>
    <row r="21" spans="1:8" ht="16.5">
      <c r="A21" s="100"/>
      <c r="B21" s="74" t="s">
        <v>207</v>
      </c>
      <c r="C21" s="74" t="s">
        <v>208</v>
      </c>
      <c r="D21" s="74" t="s">
        <v>184</v>
      </c>
      <c r="E21" s="75">
        <v>1</v>
      </c>
      <c r="F21" s="124">
        <v>33.619999999999997</v>
      </c>
      <c r="G21" s="125">
        <v>15.13</v>
      </c>
      <c r="H21" s="126">
        <v>0.55000000000000004</v>
      </c>
    </row>
    <row r="22" spans="1:8" ht="16.5">
      <c r="A22" s="100"/>
      <c r="B22" s="74" t="s">
        <v>209</v>
      </c>
      <c r="C22" s="74" t="s">
        <v>210</v>
      </c>
      <c r="D22" s="74" t="s">
        <v>184</v>
      </c>
      <c r="E22" s="75">
        <v>1</v>
      </c>
      <c r="F22" s="124">
        <v>5266.33</v>
      </c>
      <c r="G22" s="125">
        <v>2369.85</v>
      </c>
      <c r="H22" s="126">
        <v>0.55000000000000004</v>
      </c>
    </row>
    <row r="23" spans="1:8" ht="16.5">
      <c r="A23" s="100"/>
      <c r="B23" s="74" t="s">
        <v>211</v>
      </c>
      <c r="C23" s="74" t="s">
        <v>212</v>
      </c>
      <c r="D23" s="74" t="s">
        <v>184</v>
      </c>
      <c r="E23" s="75">
        <v>1</v>
      </c>
      <c r="F23" s="124">
        <v>5580.84</v>
      </c>
      <c r="G23" s="125">
        <v>2511.38</v>
      </c>
      <c r="H23" s="126">
        <v>0.55000000000000004</v>
      </c>
    </row>
    <row r="24" spans="1:8" ht="16.5">
      <c r="A24" s="100"/>
      <c r="B24" s="74" t="s">
        <v>213</v>
      </c>
      <c r="C24" s="74" t="s">
        <v>214</v>
      </c>
      <c r="D24" s="74" t="s">
        <v>184</v>
      </c>
      <c r="E24" s="75">
        <v>1</v>
      </c>
      <c r="F24" s="124">
        <v>4064.71</v>
      </c>
      <c r="G24" s="125">
        <v>1829.12</v>
      </c>
      <c r="H24" s="126">
        <v>0.55000000000000004</v>
      </c>
    </row>
    <row r="25" spans="1:8" ht="16.5">
      <c r="A25" s="100"/>
      <c r="B25" s="74" t="s">
        <v>215</v>
      </c>
      <c r="C25" s="74" t="s">
        <v>216</v>
      </c>
      <c r="D25" s="74" t="s">
        <v>184</v>
      </c>
      <c r="E25" s="75">
        <v>1</v>
      </c>
      <c r="F25" s="124">
        <v>11184.45</v>
      </c>
      <c r="G25" s="125">
        <v>5033</v>
      </c>
      <c r="H25" s="126">
        <v>0.55000000000000004</v>
      </c>
    </row>
    <row r="26" spans="1:8" ht="16.5">
      <c r="A26" s="100"/>
      <c r="B26" s="74" t="s">
        <v>217</v>
      </c>
      <c r="C26" s="74" t="s">
        <v>218</v>
      </c>
      <c r="D26" s="74" t="s">
        <v>184</v>
      </c>
      <c r="E26" s="75">
        <v>1</v>
      </c>
      <c r="F26" s="124">
        <v>4428.01</v>
      </c>
      <c r="G26" s="125">
        <v>1992.61</v>
      </c>
      <c r="H26" s="126">
        <v>0.55000000000000004</v>
      </c>
    </row>
    <row r="27" spans="1:8" ht="16.5">
      <c r="A27" s="100"/>
      <c r="B27" s="74" t="s">
        <v>219</v>
      </c>
      <c r="C27" s="74" t="s">
        <v>220</v>
      </c>
      <c r="D27" s="74" t="s">
        <v>184</v>
      </c>
      <c r="E27" s="75">
        <v>1</v>
      </c>
      <c r="F27" s="124">
        <v>770</v>
      </c>
      <c r="G27" s="125">
        <v>346.5</v>
      </c>
      <c r="H27" s="126">
        <v>0.55000000000000004</v>
      </c>
    </row>
    <row r="28" spans="1:8" ht="16.5">
      <c r="A28" s="100"/>
      <c r="B28" s="74" t="s">
        <v>221</v>
      </c>
      <c r="C28" s="74" t="s">
        <v>222</v>
      </c>
      <c r="D28" s="74" t="s">
        <v>184</v>
      </c>
      <c r="E28" s="75">
        <v>1</v>
      </c>
      <c r="F28" s="124">
        <v>262.45</v>
      </c>
      <c r="G28" s="125">
        <v>118.1</v>
      </c>
      <c r="H28" s="126">
        <v>0.55000000000000004</v>
      </c>
    </row>
    <row r="29" spans="1:8" ht="16.5">
      <c r="A29" s="100"/>
      <c r="B29" s="74" t="s">
        <v>223</v>
      </c>
      <c r="C29" s="74" t="s">
        <v>224</v>
      </c>
      <c r="D29" s="74" t="s">
        <v>184</v>
      </c>
      <c r="E29" s="75">
        <v>1</v>
      </c>
      <c r="F29" s="124">
        <v>6240.21</v>
      </c>
      <c r="G29" s="125">
        <v>2808.1</v>
      </c>
      <c r="H29" s="126">
        <v>0.55000000000000004</v>
      </c>
    </row>
    <row r="30" spans="1:8" ht="16.5">
      <c r="A30" s="100"/>
      <c r="B30" s="74" t="s">
        <v>225</v>
      </c>
      <c r="C30" s="74" t="s">
        <v>226</v>
      </c>
      <c r="D30" s="74" t="s">
        <v>184</v>
      </c>
      <c r="E30" s="75">
        <v>1</v>
      </c>
      <c r="F30" s="124">
        <v>1406.6</v>
      </c>
      <c r="G30" s="125">
        <v>632.97</v>
      </c>
      <c r="H30" s="126">
        <v>0.55000000000000004</v>
      </c>
    </row>
    <row r="31" spans="1:8" ht="16.5">
      <c r="A31" s="100"/>
      <c r="B31" s="74" t="s">
        <v>227</v>
      </c>
      <c r="C31" s="74" t="s">
        <v>228</v>
      </c>
      <c r="D31" s="74" t="s">
        <v>184</v>
      </c>
      <c r="E31" s="75">
        <v>1</v>
      </c>
      <c r="F31" s="124">
        <v>2065.9699999999998</v>
      </c>
      <c r="G31" s="125">
        <v>929.69</v>
      </c>
      <c r="H31" s="126">
        <v>0.55000000000000004</v>
      </c>
    </row>
    <row r="32" spans="1:8" ht="16.5">
      <c r="A32" s="100"/>
      <c r="B32" s="74" t="s">
        <v>229</v>
      </c>
      <c r="C32" s="74" t="s">
        <v>230</v>
      </c>
      <c r="D32" s="74" t="s">
        <v>184</v>
      </c>
      <c r="E32" s="75">
        <v>1</v>
      </c>
      <c r="F32" s="124">
        <v>9041.48</v>
      </c>
      <c r="G32" s="125">
        <v>4068.66</v>
      </c>
      <c r="H32" s="126">
        <v>0.55000000000000004</v>
      </c>
    </row>
    <row r="33" spans="1:8" ht="16.5">
      <c r="A33" s="100"/>
      <c r="B33" s="74" t="s">
        <v>231</v>
      </c>
      <c r="C33" s="74" t="s">
        <v>232</v>
      </c>
      <c r="D33" s="74" t="s">
        <v>184</v>
      </c>
      <c r="E33" s="75">
        <v>1</v>
      </c>
      <c r="F33" s="124">
        <v>6790.05</v>
      </c>
      <c r="G33" s="125">
        <v>3055.52</v>
      </c>
      <c r="H33" s="126">
        <v>0.55000000000000004</v>
      </c>
    </row>
    <row r="34" spans="1:8" ht="17.25" thickBot="1">
      <c r="A34" s="101"/>
      <c r="B34" s="74" t="s">
        <v>233</v>
      </c>
      <c r="C34" s="74" t="s">
        <v>234</v>
      </c>
      <c r="D34" s="74" t="s">
        <v>184</v>
      </c>
      <c r="E34" s="75">
        <v>1</v>
      </c>
      <c r="F34" s="124">
        <v>19249.88</v>
      </c>
      <c r="G34" s="125">
        <v>8662.44</v>
      </c>
      <c r="H34" s="126">
        <v>0.55000000000000004</v>
      </c>
    </row>
    <row r="35" spans="1:8">
      <c r="A35" s="72"/>
      <c r="B35" s="72"/>
      <c r="C35" s="72"/>
      <c r="D35" s="72"/>
      <c r="E35" s="72"/>
    </row>
    <row r="36" spans="1:8">
      <c r="A36" s="72"/>
      <c r="B36" s="72"/>
      <c r="C36" s="72"/>
      <c r="D36" s="72"/>
      <c r="E36" s="72"/>
    </row>
    <row r="37" spans="1:8">
      <c r="A37" s="72"/>
      <c r="B37" s="72"/>
      <c r="C37" s="72"/>
      <c r="D37" s="72"/>
      <c r="E37" s="72"/>
      <c r="F37" s="105" t="s">
        <v>173</v>
      </c>
    </row>
    <row r="38" spans="1:8">
      <c r="A38" s="99"/>
      <c r="B38" s="70"/>
      <c r="C38" s="71"/>
      <c r="D38" s="71"/>
      <c r="E38" s="71"/>
      <c r="F38" s="102" t="s">
        <v>235</v>
      </c>
      <c r="G38" s="102"/>
    </row>
    <row r="39" spans="1:8">
      <c r="A39" s="100"/>
      <c r="B39" s="118" t="s">
        <v>175</v>
      </c>
      <c r="C39" s="119" t="s">
        <v>176</v>
      </c>
      <c r="D39" s="119" t="s">
        <v>177</v>
      </c>
      <c r="E39" s="119" t="s">
        <v>178</v>
      </c>
      <c r="F39" s="120" t="s">
        <v>179</v>
      </c>
      <c r="G39" s="120" t="s">
        <v>180</v>
      </c>
      <c r="H39" s="120" t="s">
        <v>181</v>
      </c>
    </row>
    <row r="40" spans="1:8">
      <c r="A40" s="100"/>
      <c r="B40" s="121"/>
      <c r="C40" s="121"/>
      <c r="D40" s="121"/>
      <c r="E40" s="121"/>
      <c r="F40" s="129"/>
      <c r="G40" s="129"/>
      <c r="H40" s="129"/>
    </row>
    <row r="41" spans="1:8">
      <c r="A41" s="100"/>
      <c r="B41" s="74" t="s">
        <v>236</v>
      </c>
      <c r="C41" s="74" t="s">
        <v>237</v>
      </c>
      <c r="D41" s="74" t="s">
        <v>238</v>
      </c>
      <c r="E41" s="75">
        <v>1</v>
      </c>
      <c r="F41" s="130">
        <v>1819.78</v>
      </c>
      <c r="G41" s="131">
        <v>764.31</v>
      </c>
      <c r="H41" s="132">
        <v>0.57999999999999996</v>
      </c>
    </row>
    <row r="42" spans="1:8">
      <c r="A42" s="100"/>
      <c r="B42" s="74" t="s">
        <v>239</v>
      </c>
      <c r="C42" s="74" t="s">
        <v>240</v>
      </c>
      <c r="D42" s="74" t="s">
        <v>238</v>
      </c>
      <c r="E42" s="75">
        <v>1</v>
      </c>
      <c r="F42" s="133" t="s">
        <v>241</v>
      </c>
      <c r="G42" s="131">
        <v>591.67999999999995</v>
      </c>
      <c r="H42" s="132">
        <v>0.57999999999999996</v>
      </c>
    </row>
    <row r="43" spans="1:8">
      <c r="A43" s="100"/>
      <c r="B43" s="74" t="s">
        <v>242</v>
      </c>
      <c r="C43" s="74" t="s">
        <v>243</v>
      </c>
      <c r="D43" s="74" t="s">
        <v>238</v>
      </c>
      <c r="E43" s="75">
        <v>1</v>
      </c>
      <c r="F43" s="134" t="s">
        <v>244</v>
      </c>
      <c r="G43" s="131">
        <v>336.15</v>
      </c>
      <c r="H43" s="132">
        <v>0.57999999999999996</v>
      </c>
    </row>
    <row r="44" spans="1:8">
      <c r="A44" s="100"/>
      <c r="B44" s="74" t="s">
        <v>245</v>
      </c>
      <c r="C44" s="74" t="s">
        <v>246</v>
      </c>
      <c r="D44" s="74" t="s">
        <v>238</v>
      </c>
      <c r="E44" s="75">
        <v>1</v>
      </c>
      <c r="F44" s="133" t="s">
        <v>247</v>
      </c>
      <c r="G44" s="131">
        <v>406.29</v>
      </c>
      <c r="H44" s="132">
        <v>0.57999999999999996</v>
      </c>
    </row>
    <row r="45" spans="1:8">
      <c r="A45" s="100"/>
      <c r="B45" s="74" t="s">
        <v>248</v>
      </c>
      <c r="C45" s="74" t="s">
        <v>249</v>
      </c>
      <c r="D45" s="74" t="s">
        <v>238</v>
      </c>
      <c r="E45" s="75">
        <v>1</v>
      </c>
      <c r="F45" s="134" t="s">
        <v>250</v>
      </c>
      <c r="G45" s="131">
        <v>389.44</v>
      </c>
      <c r="H45" s="132">
        <v>0.57999999999999996</v>
      </c>
    </row>
    <row r="46" spans="1:8">
      <c r="A46" s="100"/>
      <c r="B46" s="74" t="s">
        <v>251</v>
      </c>
      <c r="C46" s="74" t="s">
        <v>252</v>
      </c>
      <c r="D46" s="74" t="s">
        <v>238</v>
      </c>
      <c r="E46" s="75">
        <v>1</v>
      </c>
      <c r="F46" s="133" t="s">
        <v>253</v>
      </c>
      <c r="G46" s="131">
        <v>3375.18</v>
      </c>
      <c r="H46" s="132">
        <v>0.57999999999999996</v>
      </c>
    </row>
    <row r="47" spans="1:8">
      <c r="A47" s="100"/>
      <c r="B47" s="74" t="s">
        <v>254</v>
      </c>
      <c r="C47" s="74" t="s">
        <v>255</v>
      </c>
      <c r="D47" s="74" t="s">
        <v>238</v>
      </c>
      <c r="E47" s="75">
        <v>1</v>
      </c>
      <c r="F47" s="134" t="s">
        <v>256</v>
      </c>
      <c r="G47" s="131">
        <v>3056.79</v>
      </c>
      <c r="H47" s="132">
        <v>0.57999999999999996</v>
      </c>
    </row>
    <row r="48" spans="1:8">
      <c r="A48" s="100"/>
      <c r="B48" s="74" t="s">
        <v>257</v>
      </c>
      <c r="C48" s="74" t="s">
        <v>258</v>
      </c>
      <c r="D48" s="74" t="s">
        <v>238</v>
      </c>
      <c r="E48" s="75">
        <v>1</v>
      </c>
      <c r="F48" s="133" t="s">
        <v>259</v>
      </c>
      <c r="G48" s="131">
        <v>5147.03</v>
      </c>
      <c r="H48" s="132">
        <v>0.57999999999999996</v>
      </c>
    </row>
    <row r="49" spans="1:8">
      <c r="A49" s="100"/>
      <c r="B49" s="74" t="s">
        <v>260</v>
      </c>
      <c r="C49" s="74" t="s">
        <v>261</v>
      </c>
      <c r="D49" s="74" t="s">
        <v>238</v>
      </c>
      <c r="E49" s="75">
        <v>1</v>
      </c>
      <c r="F49" s="134" t="s">
        <v>262</v>
      </c>
      <c r="G49" s="131">
        <v>1812.39</v>
      </c>
      <c r="H49" s="132">
        <v>0.57999999999999996</v>
      </c>
    </row>
    <row r="50" spans="1:8">
      <c r="A50" s="100"/>
      <c r="B50" s="74" t="s">
        <v>263</v>
      </c>
      <c r="C50" s="74" t="s">
        <v>264</v>
      </c>
      <c r="D50" s="74" t="s">
        <v>238</v>
      </c>
      <c r="E50" s="75">
        <v>1</v>
      </c>
      <c r="F50" s="133" t="s">
        <v>265</v>
      </c>
      <c r="G50" s="131">
        <v>1580.09</v>
      </c>
      <c r="H50" s="132">
        <v>0.57999999999999996</v>
      </c>
    </row>
    <row r="51" spans="1:8">
      <c r="A51" s="100"/>
      <c r="B51" s="74" t="s">
        <v>266</v>
      </c>
      <c r="C51" s="74" t="s">
        <v>267</v>
      </c>
      <c r="D51" s="74" t="s">
        <v>238</v>
      </c>
      <c r="E51" s="75">
        <v>1</v>
      </c>
      <c r="F51" s="134" t="s">
        <v>268</v>
      </c>
      <c r="G51" s="131">
        <v>1940.38</v>
      </c>
      <c r="H51" s="132">
        <v>0.57999999999999996</v>
      </c>
    </row>
    <row r="52" spans="1:8">
      <c r="A52" s="100"/>
      <c r="B52" s="74" t="s">
        <v>269</v>
      </c>
      <c r="C52" s="74" t="s">
        <v>270</v>
      </c>
      <c r="D52" s="74" t="s">
        <v>238</v>
      </c>
      <c r="E52" s="75">
        <v>1</v>
      </c>
      <c r="F52" s="133" t="s">
        <v>271</v>
      </c>
      <c r="G52" s="131">
        <v>1559.59</v>
      </c>
      <c r="H52" s="132">
        <v>0.57999999999999996</v>
      </c>
    </row>
    <row r="53" spans="1:8">
      <c r="A53" s="100"/>
      <c r="B53" s="74" t="s">
        <v>272</v>
      </c>
      <c r="C53" s="74" t="s">
        <v>273</v>
      </c>
      <c r="D53" s="74" t="s">
        <v>238</v>
      </c>
      <c r="E53" s="75">
        <v>1</v>
      </c>
      <c r="F53" s="134" t="s">
        <v>274</v>
      </c>
      <c r="G53" s="131">
        <v>2002.78</v>
      </c>
      <c r="H53" s="132">
        <v>0.57999999999999996</v>
      </c>
    </row>
    <row r="54" spans="1:8">
      <c r="A54" s="100"/>
      <c r="B54" s="74" t="s">
        <v>275</v>
      </c>
      <c r="C54" s="74" t="s">
        <v>276</v>
      </c>
      <c r="D54" s="74" t="s">
        <v>238</v>
      </c>
      <c r="E54" s="75">
        <v>1</v>
      </c>
      <c r="F54" s="133" t="s">
        <v>277</v>
      </c>
      <c r="G54" s="131">
        <v>3295.92</v>
      </c>
      <c r="H54" s="132">
        <v>0.57999999999999996</v>
      </c>
    </row>
    <row r="55" spans="1:8">
      <c r="A55" s="100"/>
      <c r="B55" s="74" t="s">
        <v>278</v>
      </c>
      <c r="C55" s="74" t="s">
        <v>279</v>
      </c>
      <c r="D55" s="74" t="s">
        <v>238</v>
      </c>
      <c r="E55" s="75">
        <v>1</v>
      </c>
      <c r="F55" s="134" t="s">
        <v>280</v>
      </c>
      <c r="G55" s="131">
        <v>2909.67</v>
      </c>
      <c r="H55" s="132">
        <v>0.57999999999999996</v>
      </c>
    </row>
    <row r="56" spans="1:8">
      <c r="A56" s="100"/>
      <c r="B56" s="74" t="s">
        <v>281</v>
      </c>
      <c r="C56" s="74" t="s">
        <v>282</v>
      </c>
      <c r="D56" s="74" t="s">
        <v>238</v>
      </c>
      <c r="E56" s="75">
        <v>1</v>
      </c>
      <c r="F56" s="133" t="s">
        <v>283</v>
      </c>
      <c r="G56" s="131">
        <v>825.34</v>
      </c>
      <c r="H56" s="132">
        <v>0.57999999999999996</v>
      </c>
    </row>
    <row r="57" spans="1:8">
      <c r="A57" s="100"/>
      <c r="B57" s="74" t="s">
        <v>284</v>
      </c>
      <c r="C57" s="74" t="s">
        <v>285</v>
      </c>
      <c r="D57" s="74" t="s">
        <v>238</v>
      </c>
      <c r="E57" s="75">
        <v>1</v>
      </c>
      <c r="F57" s="134" t="s">
        <v>286</v>
      </c>
      <c r="G57" s="131">
        <v>986.59</v>
      </c>
      <c r="H57" s="132">
        <v>0.57999999999999996</v>
      </c>
    </row>
    <row r="58" spans="1:8">
      <c r="A58" s="100"/>
      <c r="B58" s="74" t="s">
        <v>287</v>
      </c>
      <c r="C58" s="74" t="s">
        <v>288</v>
      </c>
      <c r="D58" s="74" t="s">
        <v>238</v>
      </c>
      <c r="E58" s="75">
        <v>1</v>
      </c>
      <c r="F58" s="133" t="s">
        <v>289</v>
      </c>
      <c r="G58" s="131">
        <v>4567.6499999999996</v>
      </c>
      <c r="H58" s="132">
        <v>0.57999999999999996</v>
      </c>
    </row>
    <row r="59" spans="1:8">
      <c r="A59" s="100"/>
      <c r="B59" s="74" t="s">
        <v>290</v>
      </c>
      <c r="C59" s="74" t="s">
        <v>291</v>
      </c>
      <c r="D59" s="74" t="s">
        <v>238</v>
      </c>
      <c r="E59" s="75">
        <v>1</v>
      </c>
      <c r="F59" s="134" t="s">
        <v>292</v>
      </c>
      <c r="G59" s="131">
        <v>1577.36</v>
      </c>
      <c r="H59" s="132">
        <v>0.57999999999999996</v>
      </c>
    </row>
    <row r="60" spans="1:8">
      <c r="A60" s="100"/>
      <c r="B60" s="74" t="s">
        <v>293</v>
      </c>
      <c r="C60" s="74" t="s">
        <v>294</v>
      </c>
      <c r="D60" s="74" t="s">
        <v>238</v>
      </c>
      <c r="E60" s="75">
        <v>1</v>
      </c>
      <c r="F60" s="133" t="s">
        <v>295</v>
      </c>
      <c r="G60" s="131">
        <v>1497.65</v>
      </c>
      <c r="H60" s="132">
        <v>0.57999999999999996</v>
      </c>
    </row>
    <row r="61" spans="1:8">
      <c r="A61" s="100"/>
      <c r="B61" s="74" t="s">
        <v>296</v>
      </c>
      <c r="C61" s="74" t="s">
        <v>297</v>
      </c>
      <c r="D61" s="74" t="s">
        <v>238</v>
      </c>
      <c r="E61" s="75">
        <v>1</v>
      </c>
      <c r="F61" s="134" t="s">
        <v>298</v>
      </c>
      <c r="G61" s="131">
        <v>378.96</v>
      </c>
      <c r="H61" s="132">
        <v>0.57999999999999996</v>
      </c>
    </row>
    <row r="62" spans="1:8">
      <c r="A62" s="100"/>
      <c r="B62" s="74" t="s">
        <v>299</v>
      </c>
      <c r="C62" s="74" t="s">
        <v>300</v>
      </c>
      <c r="D62" s="74" t="s">
        <v>238</v>
      </c>
      <c r="E62" s="75">
        <v>1</v>
      </c>
      <c r="F62" s="133" t="s">
        <v>301</v>
      </c>
      <c r="G62" s="131">
        <v>525.63</v>
      </c>
      <c r="H62" s="132">
        <v>0.57999999999999996</v>
      </c>
    </row>
    <row r="63" spans="1:8">
      <c r="A63" s="100"/>
      <c r="B63" s="74" t="s">
        <v>302</v>
      </c>
      <c r="C63" s="74" t="s">
        <v>303</v>
      </c>
      <c r="D63" s="74" t="s">
        <v>238</v>
      </c>
      <c r="E63" s="75">
        <v>1</v>
      </c>
      <c r="F63" s="134" t="s">
        <v>304</v>
      </c>
      <c r="G63" s="131">
        <v>197.22</v>
      </c>
      <c r="H63" s="132">
        <v>0.57999999999999996</v>
      </c>
    </row>
    <row r="64" spans="1:8">
      <c r="A64" s="100"/>
      <c r="B64" s="74" t="s">
        <v>305</v>
      </c>
      <c r="C64" s="74" t="s">
        <v>306</v>
      </c>
      <c r="D64" s="74" t="s">
        <v>238</v>
      </c>
      <c r="E64" s="75">
        <v>1</v>
      </c>
      <c r="F64" s="133" t="s">
        <v>307</v>
      </c>
      <c r="G64" s="131">
        <v>1699.43</v>
      </c>
      <c r="H64" s="132">
        <v>0.57999999999999996</v>
      </c>
    </row>
    <row r="65" spans="1:8">
      <c r="A65" s="100"/>
      <c r="B65" s="74" t="s">
        <v>308</v>
      </c>
      <c r="C65" s="74" t="s">
        <v>309</v>
      </c>
      <c r="D65" s="74" t="s">
        <v>238</v>
      </c>
      <c r="E65" s="75">
        <v>1</v>
      </c>
      <c r="F65" s="134" t="s">
        <v>310</v>
      </c>
      <c r="G65" s="131">
        <v>452.75</v>
      </c>
      <c r="H65" s="132">
        <v>0.57999999999999996</v>
      </c>
    </row>
    <row r="66" spans="1:8">
      <c r="A66" s="100"/>
      <c r="B66" s="74" t="s">
        <v>311</v>
      </c>
      <c r="C66" s="74" t="s">
        <v>312</v>
      </c>
      <c r="D66" s="74" t="s">
        <v>238</v>
      </c>
      <c r="E66" s="75">
        <v>1</v>
      </c>
      <c r="F66" s="133" t="s">
        <v>313</v>
      </c>
      <c r="G66" s="131">
        <v>588.49</v>
      </c>
      <c r="H66" s="132">
        <v>0.57999999999999996</v>
      </c>
    </row>
    <row r="67" spans="1:8">
      <c r="A67" s="100"/>
      <c r="B67" s="74" t="s">
        <v>314</v>
      </c>
      <c r="C67" s="74" t="s">
        <v>315</v>
      </c>
      <c r="D67" s="74" t="s">
        <v>238</v>
      </c>
      <c r="E67" s="75">
        <v>1</v>
      </c>
      <c r="F67" s="134" t="s">
        <v>316</v>
      </c>
      <c r="G67" s="131">
        <v>681.41</v>
      </c>
      <c r="H67" s="132">
        <v>0.57999999999999996</v>
      </c>
    </row>
    <row r="68" spans="1:8">
      <c r="A68" s="100"/>
      <c r="B68" s="74" t="s">
        <v>317</v>
      </c>
      <c r="C68" s="74" t="s">
        <v>318</v>
      </c>
      <c r="D68" s="74" t="s">
        <v>238</v>
      </c>
      <c r="E68" s="75">
        <v>1</v>
      </c>
      <c r="F68" s="133" t="s">
        <v>307</v>
      </c>
      <c r="G68" s="131">
        <v>1699.43</v>
      </c>
      <c r="H68" s="132">
        <v>0.57999999999999996</v>
      </c>
    </row>
    <row r="69" spans="1:8">
      <c r="A69" s="100"/>
      <c r="B69" s="74" t="s">
        <v>319</v>
      </c>
      <c r="C69" s="74" t="s">
        <v>320</v>
      </c>
      <c r="D69" s="74" t="s">
        <v>238</v>
      </c>
      <c r="E69" s="75">
        <v>1</v>
      </c>
      <c r="F69" s="134" t="s">
        <v>321</v>
      </c>
      <c r="G69" s="131">
        <v>728.78</v>
      </c>
      <c r="H69" s="132">
        <v>0.57999999999999996</v>
      </c>
    </row>
    <row r="70" spans="1:8">
      <c r="A70" s="100"/>
      <c r="B70" s="74" t="s">
        <v>322</v>
      </c>
      <c r="C70" s="74" t="s">
        <v>323</v>
      </c>
      <c r="D70" s="74" t="s">
        <v>238</v>
      </c>
      <c r="E70" s="75">
        <v>1</v>
      </c>
      <c r="F70" s="133" t="s">
        <v>324</v>
      </c>
      <c r="G70" s="131">
        <v>1495.37</v>
      </c>
      <c r="H70" s="132">
        <v>0.57999999999999996</v>
      </c>
    </row>
    <row r="71" spans="1:8">
      <c r="A71" s="100"/>
      <c r="B71" s="74" t="s">
        <v>325</v>
      </c>
      <c r="C71" s="74" t="s">
        <v>326</v>
      </c>
      <c r="D71" s="74" t="s">
        <v>238</v>
      </c>
      <c r="E71" s="75">
        <v>1</v>
      </c>
      <c r="F71" s="134" t="s">
        <v>327</v>
      </c>
      <c r="G71" s="131">
        <v>909.61</v>
      </c>
      <c r="H71" s="132">
        <v>0.57999999999999996</v>
      </c>
    </row>
    <row r="72" spans="1:8">
      <c r="A72" s="100"/>
      <c r="B72" s="74" t="s">
        <v>328</v>
      </c>
      <c r="C72" s="74" t="s">
        <v>329</v>
      </c>
      <c r="D72" s="74" t="s">
        <v>238</v>
      </c>
      <c r="E72" s="75">
        <v>1</v>
      </c>
      <c r="F72" s="133" t="s">
        <v>330</v>
      </c>
      <c r="G72" s="131">
        <v>321.58</v>
      </c>
      <c r="H72" s="132">
        <v>0.57999999999999996</v>
      </c>
    </row>
    <row r="73" spans="1:8">
      <c r="A73" s="100"/>
      <c r="B73" s="74" t="s">
        <v>331</v>
      </c>
      <c r="C73" s="74" t="s">
        <v>332</v>
      </c>
      <c r="D73" s="74" t="s">
        <v>238</v>
      </c>
      <c r="E73" s="75">
        <v>1</v>
      </c>
      <c r="F73" s="134" t="s">
        <v>333</v>
      </c>
      <c r="G73" s="131">
        <v>453.66</v>
      </c>
      <c r="H73" s="132">
        <v>0.57999999999999996</v>
      </c>
    </row>
    <row r="74" spans="1:8">
      <c r="A74" s="100"/>
      <c r="B74" s="74" t="s">
        <v>334</v>
      </c>
      <c r="C74" s="74" t="s">
        <v>335</v>
      </c>
      <c r="D74" s="74" t="s">
        <v>238</v>
      </c>
      <c r="E74" s="75">
        <v>1</v>
      </c>
      <c r="F74" s="133" t="s">
        <v>336</v>
      </c>
      <c r="G74" s="131">
        <v>1167.42</v>
      </c>
      <c r="H74" s="132">
        <v>0.57999999999999996</v>
      </c>
    </row>
    <row r="75" spans="1:8">
      <c r="A75" s="100"/>
      <c r="B75" s="74" t="s">
        <v>334</v>
      </c>
      <c r="C75" s="74" t="s">
        <v>335</v>
      </c>
      <c r="D75" s="74" t="s">
        <v>238</v>
      </c>
      <c r="E75" s="75">
        <v>1</v>
      </c>
      <c r="F75" s="134" t="s">
        <v>336</v>
      </c>
      <c r="G75" s="131">
        <v>1167.42</v>
      </c>
      <c r="H75" s="132">
        <v>0.57999999999999996</v>
      </c>
    </row>
    <row r="76" spans="1:8">
      <c r="A76" s="100"/>
      <c r="B76" s="74" t="s">
        <v>337</v>
      </c>
      <c r="C76" s="74" t="s">
        <v>338</v>
      </c>
      <c r="D76" s="74" t="s">
        <v>238</v>
      </c>
      <c r="E76" s="75">
        <v>1</v>
      </c>
      <c r="F76" s="133" t="s">
        <v>339</v>
      </c>
      <c r="G76" s="131">
        <v>1868.42</v>
      </c>
      <c r="H76" s="132">
        <v>0.57999999999999996</v>
      </c>
    </row>
    <row r="77" spans="1:8">
      <c r="A77" s="100"/>
      <c r="B77" s="74" t="s">
        <v>340</v>
      </c>
      <c r="C77" s="74" t="s">
        <v>341</v>
      </c>
      <c r="D77" s="74" t="s">
        <v>238</v>
      </c>
      <c r="E77" s="75">
        <v>1</v>
      </c>
      <c r="F77" s="134" t="s">
        <v>342</v>
      </c>
      <c r="G77" s="131">
        <v>1976.82</v>
      </c>
      <c r="H77" s="132">
        <v>0.57999999999999996</v>
      </c>
    </row>
    <row r="78" spans="1:8">
      <c r="A78" s="100"/>
      <c r="B78" s="74" t="s">
        <v>343</v>
      </c>
      <c r="C78" s="74" t="s">
        <v>344</v>
      </c>
      <c r="D78" s="74" t="s">
        <v>238</v>
      </c>
      <c r="E78" s="75">
        <v>1</v>
      </c>
      <c r="F78" s="133" t="s">
        <v>342</v>
      </c>
      <c r="G78" s="131">
        <v>1976.82</v>
      </c>
      <c r="H78" s="132">
        <v>0.57999999999999996</v>
      </c>
    </row>
    <row r="79" spans="1:8">
      <c r="A79" s="100"/>
      <c r="B79" s="74" t="s">
        <v>345</v>
      </c>
      <c r="C79" s="74" t="s">
        <v>346</v>
      </c>
      <c r="D79" s="74" t="s">
        <v>238</v>
      </c>
      <c r="E79" s="75">
        <v>1</v>
      </c>
      <c r="F79" s="134" t="s">
        <v>347</v>
      </c>
      <c r="G79" s="131">
        <v>1489.9</v>
      </c>
      <c r="H79" s="132">
        <v>0.57999999999999996</v>
      </c>
    </row>
    <row r="80" spans="1:8">
      <c r="A80" s="100"/>
      <c r="B80" s="74" t="s">
        <v>348</v>
      </c>
      <c r="C80" s="74" t="s">
        <v>349</v>
      </c>
      <c r="D80" s="74" t="s">
        <v>238</v>
      </c>
      <c r="E80" s="75">
        <v>1</v>
      </c>
      <c r="F80" s="133" t="s">
        <v>347</v>
      </c>
      <c r="G80" s="131">
        <v>1489.9</v>
      </c>
      <c r="H80" s="132">
        <v>0.57999999999999996</v>
      </c>
    </row>
    <row r="81" spans="1:8">
      <c r="A81" s="100"/>
      <c r="B81" s="74" t="s">
        <v>350</v>
      </c>
      <c r="C81" s="74" t="s">
        <v>351</v>
      </c>
      <c r="D81" s="74" t="s">
        <v>238</v>
      </c>
      <c r="E81" s="75">
        <v>1</v>
      </c>
      <c r="F81" s="134" t="s">
        <v>352</v>
      </c>
      <c r="G81" s="131">
        <v>343.89</v>
      </c>
      <c r="H81" s="132">
        <v>0.57999999999999996</v>
      </c>
    </row>
    <row r="82" spans="1:8">
      <c r="A82" s="100"/>
      <c r="B82" s="74" t="s">
        <v>353</v>
      </c>
      <c r="C82" s="74" t="s">
        <v>354</v>
      </c>
      <c r="D82" s="74" t="s">
        <v>238</v>
      </c>
      <c r="E82" s="75">
        <v>1</v>
      </c>
      <c r="F82" s="133" t="s">
        <v>355</v>
      </c>
      <c r="G82" s="131">
        <v>223.64</v>
      </c>
      <c r="H82" s="132">
        <v>0.57999999999999996</v>
      </c>
    </row>
    <row r="83" spans="1:8">
      <c r="A83" s="100"/>
      <c r="B83" s="74" t="s">
        <v>356</v>
      </c>
      <c r="C83" s="74" t="s">
        <v>357</v>
      </c>
      <c r="D83" s="74" t="s">
        <v>238</v>
      </c>
      <c r="E83" s="75">
        <v>1</v>
      </c>
      <c r="F83" s="134" t="s">
        <v>358</v>
      </c>
      <c r="G83" s="131">
        <v>412.21</v>
      </c>
      <c r="H83" s="132">
        <v>0.57999999999999996</v>
      </c>
    </row>
    <row r="84" spans="1:8">
      <c r="A84" s="100"/>
      <c r="B84" s="74" t="s">
        <v>359</v>
      </c>
      <c r="C84" s="74" t="s">
        <v>360</v>
      </c>
      <c r="D84" s="74" t="s">
        <v>238</v>
      </c>
      <c r="E84" s="75">
        <v>1</v>
      </c>
      <c r="F84" s="133" t="s">
        <v>361</v>
      </c>
      <c r="G84" s="131">
        <v>148.49</v>
      </c>
      <c r="H84" s="132">
        <v>0.57999999999999996</v>
      </c>
    </row>
    <row r="85" spans="1:8">
      <c r="A85" s="100"/>
      <c r="B85" s="74" t="s">
        <v>359</v>
      </c>
      <c r="C85" s="74" t="s">
        <v>360</v>
      </c>
      <c r="D85" s="74" t="s">
        <v>238</v>
      </c>
      <c r="E85" s="75">
        <v>1</v>
      </c>
      <c r="F85" s="134" t="s">
        <v>361</v>
      </c>
      <c r="G85" s="131">
        <v>148.49</v>
      </c>
      <c r="H85" s="132">
        <v>0.57999999999999996</v>
      </c>
    </row>
    <row r="86" spans="1:8">
      <c r="A86" s="100"/>
      <c r="B86" s="74" t="s">
        <v>362</v>
      </c>
      <c r="C86" s="74" t="s">
        <v>363</v>
      </c>
      <c r="D86" s="74" t="s">
        <v>238</v>
      </c>
      <c r="E86" s="75">
        <v>1</v>
      </c>
      <c r="F86" s="133" t="s">
        <v>364</v>
      </c>
      <c r="G86" s="131">
        <v>306.54000000000002</v>
      </c>
      <c r="H86" s="132">
        <v>0.57999999999999996</v>
      </c>
    </row>
    <row r="87" spans="1:8">
      <c r="A87" s="100"/>
      <c r="B87" s="74" t="s">
        <v>365</v>
      </c>
      <c r="C87" s="74" t="s">
        <v>366</v>
      </c>
      <c r="D87" s="74" t="s">
        <v>238</v>
      </c>
      <c r="E87" s="75">
        <v>1</v>
      </c>
      <c r="F87" s="134" t="s">
        <v>367</v>
      </c>
      <c r="G87" s="131">
        <v>720.13</v>
      </c>
      <c r="H87" s="132">
        <v>0.57999999999999996</v>
      </c>
    </row>
    <row r="88" spans="1:8">
      <c r="A88" s="100"/>
      <c r="B88" s="74" t="s">
        <v>368</v>
      </c>
      <c r="C88" s="74" t="s">
        <v>369</v>
      </c>
      <c r="D88" s="74" t="s">
        <v>238</v>
      </c>
      <c r="E88" s="75">
        <v>1</v>
      </c>
      <c r="F88" s="133" t="s">
        <v>370</v>
      </c>
      <c r="G88" s="131">
        <v>472.8</v>
      </c>
      <c r="H88" s="132">
        <v>0.57999999999999996</v>
      </c>
    </row>
    <row r="89" spans="1:8">
      <c r="A89" s="100"/>
      <c r="B89" s="74" t="s">
        <v>371</v>
      </c>
      <c r="C89" s="74" t="s">
        <v>372</v>
      </c>
      <c r="D89" s="74" t="s">
        <v>238</v>
      </c>
      <c r="E89" s="75">
        <v>1</v>
      </c>
      <c r="F89" s="134" t="s">
        <v>373</v>
      </c>
      <c r="G89" s="131">
        <v>278.76</v>
      </c>
      <c r="H89" s="132">
        <v>0.57999999999999996</v>
      </c>
    </row>
    <row r="90" spans="1:8">
      <c r="A90" s="100"/>
      <c r="B90" s="74" t="s">
        <v>371</v>
      </c>
      <c r="C90" s="74" t="s">
        <v>372</v>
      </c>
      <c r="D90" s="74" t="s">
        <v>238</v>
      </c>
      <c r="E90" s="75">
        <v>1</v>
      </c>
      <c r="F90" s="133" t="s">
        <v>373</v>
      </c>
      <c r="G90" s="131">
        <v>278.76</v>
      </c>
      <c r="H90" s="132">
        <v>0.57999999999999996</v>
      </c>
    </row>
    <row r="91" spans="1:8">
      <c r="A91" s="100"/>
      <c r="B91" s="74" t="s">
        <v>374</v>
      </c>
      <c r="C91" s="74" t="s">
        <v>375</v>
      </c>
      <c r="D91" s="74" t="s">
        <v>238</v>
      </c>
      <c r="E91" s="75">
        <v>1</v>
      </c>
      <c r="F91" s="134" t="s">
        <v>376</v>
      </c>
      <c r="G91" s="131">
        <v>55.11</v>
      </c>
      <c r="H91" s="132">
        <v>0.57999999999999996</v>
      </c>
    </row>
    <row r="92" spans="1:8">
      <c r="A92" s="100"/>
      <c r="B92" s="74" t="s">
        <v>377</v>
      </c>
      <c r="C92" s="74" t="s">
        <v>378</v>
      </c>
      <c r="D92" s="74" t="s">
        <v>238</v>
      </c>
      <c r="E92" s="75">
        <v>1</v>
      </c>
      <c r="F92" s="133" t="s">
        <v>379</v>
      </c>
      <c r="G92" s="131">
        <v>39.17</v>
      </c>
      <c r="H92" s="132">
        <v>0.57999999999999996</v>
      </c>
    </row>
    <row r="93" spans="1:8">
      <c r="A93" s="100"/>
      <c r="B93" s="74" t="s">
        <v>380</v>
      </c>
      <c r="C93" s="74" t="s">
        <v>381</v>
      </c>
      <c r="D93" s="74" t="s">
        <v>238</v>
      </c>
      <c r="E93" s="75">
        <v>1</v>
      </c>
      <c r="F93" s="134" t="s">
        <v>382</v>
      </c>
      <c r="G93" s="131">
        <v>43.27</v>
      </c>
      <c r="H93" s="132">
        <v>0.57999999999999996</v>
      </c>
    </row>
    <row r="94" spans="1:8">
      <c r="A94" s="100"/>
      <c r="B94" s="74" t="s">
        <v>383</v>
      </c>
      <c r="C94" s="74" t="s">
        <v>384</v>
      </c>
      <c r="D94" s="74" t="s">
        <v>238</v>
      </c>
      <c r="E94" s="75">
        <v>1</v>
      </c>
      <c r="F94" s="133" t="s">
        <v>385</v>
      </c>
      <c r="G94" s="131">
        <v>122.07</v>
      </c>
      <c r="H94" s="132">
        <v>0.57999999999999996</v>
      </c>
    </row>
    <row r="95" spans="1:8">
      <c r="A95" s="100"/>
      <c r="B95" s="74" t="s">
        <v>386</v>
      </c>
      <c r="C95" s="74" t="s">
        <v>387</v>
      </c>
      <c r="D95" s="74" t="s">
        <v>238</v>
      </c>
      <c r="E95" s="75">
        <v>1</v>
      </c>
      <c r="F95" s="134" t="s">
        <v>388</v>
      </c>
      <c r="G95" s="131">
        <v>1509.49</v>
      </c>
      <c r="H95" s="132">
        <v>0.57999999999999996</v>
      </c>
    </row>
    <row r="96" spans="1:8">
      <c r="A96" s="100"/>
      <c r="B96" s="74" t="s">
        <v>389</v>
      </c>
      <c r="C96" s="74" t="s">
        <v>390</v>
      </c>
      <c r="D96" s="74" t="s">
        <v>238</v>
      </c>
      <c r="E96" s="75">
        <v>1</v>
      </c>
      <c r="F96" s="133" t="s">
        <v>391</v>
      </c>
      <c r="G96" s="131">
        <v>1934.46</v>
      </c>
      <c r="H96" s="132">
        <v>0.57999999999999996</v>
      </c>
    </row>
    <row r="97" spans="1:8">
      <c r="A97" s="100"/>
      <c r="B97" s="74" t="s">
        <v>392</v>
      </c>
      <c r="C97" s="74" t="s">
        <v>393</v>
      </c>
      <c r="D97" s="74" t="s">
        <v>238</v>
      </c>
      <c r="E97" s="75">
        <v>1</v>
      </c>
      <c r="F97" s="134" t="s">
        <v>394</v>
      </c>
      <c r="G97" s="131">
        <v>106.58</v>
      </c>
      <c r="H97" s="132">
        <v>0.57999999999999996</v>
      </c>
    </row>
    <row r="98" spans="1:8">
      <c r="A98" s="100"/>
      <c r="B98" s="74" t="s">
        <v>395</v>
      </c>
      <c r="C98" s="74" t="s">
        <v>396</v>
      </c>
      <c r="D98" s="74" t="s">
        <v>238</v>
      </c>
      <c r="E98" s="75">
        <v>1</v>
      </c>
      <c r="F98" s="133" t="s">
        <v>397</v>
      </c>
      <c r="G98" s="131">
        <v>288.77999999999997</v>
      </c>
      <c r="H98" s="132">
        <v>0.57999999999999996</v>
      </c>
    </row>
    <row r="99" spans="1:8">
      <c r="A99" s="100"/>
      <c r="B99" s="74" t="s">
        <v>398</v>
      </c>
      <c r="C99" s="74" t="s">
        <v>399</v>
      </c>
      <c r="D99" s="74" t="s">
        <v>238</v>
      </c>
      <c r="E99" s="75">
        <v>1</v>
      </c>
      <c r="F99" s="134" t="s">
        <v>400</v>
      </c>
      <c r="G99" s="131">
        <v>540.21</v>
      </c>
      <c r="H99" s="132">
        <v>0.57999999999999996</v>
      </c>
    </row>
    <row r="100" spans="1:8">
      <c r="A100" s="100"/>
      <c r="B100" s="74" t="s">
        <v>401</v>
      </c>
      <c r="C100" s="74" t="s">
        <v>402</v>
      </c>
      <c r="D100" s="74" t="s">
        <v>238</v>
      </c>
      <c r="E100" s="75">
        <v>1</v>
      </c>
      <c r="F100" s="133" t="s">
        <v>403</v>
      </c>
      <c r="G100" s="131">
        <v>446.38</v>
      </c>
      <c r="H100" s="132">
        <v>0.57999999999999996</v>
      </c>
    </row>
    <row r="101" spans="1:8">
      <c r="A101" s="100"/>
      <c r="B101" s="74" t="s">
        <v>404</v>
      </c>
      <c r="C101" s="74" t="s">
        <v>405</v>
      </c>
      <c r="D101" s="74" t="s">
        <v>238</v>
      </c>
      <c r="E101" s="75">
        <v>1</v>
      </c>
      <c r="F101" s="134" t="s">
        <v>406</v>
      </c>
      <c r="G101" s="131">
        <v>448.65</v>
      </c>
      <c r="H101" s="132">
        <v>0.57999999999999996</v>
      </c>
    </row>
    <row r="102" spans="1:8">
      <c r="A102" s="100"/>
      <c r="B102" s="74" t="s">
        <v>407</v>
      </c>
      <c r="C102" s="74" t="s">
        <v>408</v>
      </c>
      <c r="D102" s="74" t="s">
        <v>238</v>
      </c>
      <c r="E102" s="75">
        <v>1</v>
      </c>
      <c r="F102" s="133" t="s">
        <v>409</v>
      </c>
      <c r="G102" s="131">
        <v>854.95</v>
      </c>
      <c r="H102" s="132">
        <v>0.57999999999999996</v>
      </c>
    </row>
    <row r="103" spans="1:8">
      <c r="A103" s="100"/>
      <c r="B103" s="74" t="s">
        <v>410</v>
      </c>
      <c r="C103" s="74" t="s">
        <v>411</v>
      </c>
      <c r="D103" s="74" t="s">
        <v>238</v>
      </c>
      <c r="E103" s="75">
        <v>1</v>
      </c>
      <c r="F103" s="134" t="s">
        <v>412</v>
      </c>
      <c r="G103" s="131">
        <v>672.3</v>
      </c>
      <c r="H103" s="132">
        <v>0.57999999999999996</v>
      </c>
    </row>
    <row r="104" spans="1:8">
      <c r="A104" s="100"/>
      <c r="B104" s="74" t="s">
        <v>413</v>
      </c>
      <c r="C104" s="74" t="s">
        <v>414</v>
      </c>
      <c r="D104" s="74" t="s">
        <v>238</v>
      </c>
      <c r="E104" s="75">
        <v>1</v>
      </c>
      <c r="F104" s="133" t="s">
        <v>415</v>
      </c>
      <c r="G104" s="131">
        <v>1098.18</v>
      </c>
      <c r="H104" s="132">
        <v>0.57999999999999996</v>
      </c>
    </row>
    <row r="105" spans="1:8">
      <c r="A105" s="100"/>
      <c r="B105" s="74" t="s">
        <v>416</v>
      </c>
      <c r="C105" s="74" t="s">
        <v>417</v>
      </c>
      <c r="D105" s="74" t="s">
        <v>238</v>
      </c>
      <c r="E105" s="75">
        <v>1</v>
      </c>
      <c r="F105" s="134" t="s">
        <v>418</v>
      </c>
      <c r="G105" s="131">
        <v>308.82</v>
      </c>
      <c r="H105" s="132">
        <v>0.57999999999999996</v>
      </c>
    </row>
    <row r="106" spans="1:8">
      <c r="A106" s="100"/>
      <c r="B106" s="74" t="s">
        <v>416</v>
      </c>
      <c r="C106" s="74" t="s">
        <v>417</v>
      </c>
      <c r="D106" s="74" t="s">
        <v>238</v>
      </c>
      <c r="E106" s="75">
        <v>1</v>
      </c>
      <c r="F106" s="133" t="s">
        <v>418</v>
      </c>
      <c r="G106" s="131">
        <v>308.82</v>
      </c>
      <c r="H106" s="132">
        <v>0.57999999999999996</v>
      </c>
    </row>
    <row r="107" spans="1:8">
      <c r="A107" s="100"/>
      <c r="B107" s="74" t="s">
        <v>419</v>
      </c>
      <c r="C107" s="74" t="s">
        <v>420</v>
      </c>
      <c r="D107" s="74" t="s">
        <v>238</v>
      </c>
      <c r="E107" s="75">
        <v>1</v>
      </c>
      <c r="F107" s="134" t="s">
        <v>418</v>
      </c>
      <c r="G107" s="131">
        <v>308.82</v>
      </c>
      <c r="H107" s="132">
        <v>0.57999999999999996</v>
      </c>
    </row>
    <row r="108" spans="1:8">
      <c r="A108" s="100"/>
      <c r="B108" s="74" t="s">
        <v>421</v>
      </c>
      <c r="C108" s="74" t="s">
        <v>422</v>
      </c>
      <c r="D108" s="74" t="s">
        <v>238</v>
      </c>
      <c r="E108" s="75">
        <v>1</v>
      </c>
      <c r="F108" s="133" t="s">
        <v>423</v>
      </c>
      <c r="G108" s="131">
        <v>933.75</v>
      </c>
      <c r="H108" s="132">
        <v>0.57999999999999996</v>
      </c>
    </row>
    <row r="109" spans="1:8">
      <c r="A109" s="100"/>
      <c r="B109" s="74" t="s">
        <v>424</v>
      </c>
      <c r="C109" s="74" t="s">
        <v>425</v>
      </c>
      <c r="D109" s="74" t="s">
        <v>238</v>
      </c>
      <c r="E109" s="75">
        <v>1</v>
      </c>
      <c r="F109" s="134" t="s">
        <v>426</v>
      </c>
      <c r="G109" s="131">
        <v>266</v>
      </c>
      <c r="H109" s="132">
        <v>0.57999999999999996</v>
      </c>
    </row>
    <row r="110" spans="1:8">
      <c r="A110" s="100"/>
      <c r="B110" s="74" t="s">
        <v>427</v>
      </c>
      <c r="C110" s="74" t="s">
        <v>428</v>
      </c>
      <c r="D110" s="74" t="s">
        <v>238</v>
      </c>
      <c r="E110" s="75">
        <v>1</v>
      </c>
      <c r="F110" s="133" t="s">
        <v>429</v>
      </c>
      <c r="G110" s="131">
        <v>327.95</v>
      </c>
      <c r="H110" s="132">
        <v>0.57999999999999996</v>
      </c>
    </row>
    <row r="111" spans="1:8">
      <c r="A111" s="100"/>
      <c r="B111" s="74" t="s">
        <v>430</v>
      </c>
      <c r="C111" s="74" t="s">
        <v>431</v>
      </c>
      <c r="D111" s="74" t="s">
        <v>238</v>
      </c>
      <c r="E111" s="75">
        <v>1</v>
      </c>
      <c r="F111" s="134" t="s">
        <v>432</v>
      </c>
      <c r="G111" s="131">
        <v>1866.59</v>
      </c>
      <c r="H111" s="132">
        <v>0.57999999999999996</v>
      </c>
    </row>
    <row r="112" spans="1:8">
      <c r="A112" s="100"/>
      <c r="B112" s="74" t="s">
        <v>433</v>
      </c>
      <c r="C112" s="74" t="s">
        <v>434</v>
      </c>
      <c r="D112" s="74" t="s">
        <v>238</v>
      </c>
      <c r="E112" s="75">
        <v>1</v>
      </c>
      <c r="F112" s="133" t="s">
        <v>435</v>
      </c>
      <c r="G112" s="131">
        <v>337.06</v>
      </c>
      <c r="H112" s="132">
        <v>0.57999999999999996</v>
      </c>
    </row>
    <row r="113" spans="1:8">
      <c r="A113" s="100"/>
      <c r="B113" s="74" t="s">
        <v>436</v>
      </c>
      <c r="C113" s="74" t="s">
        <v>437</v>
      </c>
      <c r="D113" s="74" t="s">
        <v>238</v>
      </c>
      <c r="E113" s="75">
        <v>1</v>
      </c>
      <c r="F113" s="134" t="s">
        <v>435</v>
      </c>
      <c r="G113" s="131">
        <v>337.06</v>
      </c>
      <c r="H113" s="132">
        <v>0.57999999999999996</v>
      </c>
    </row>
    <row r="114" spans="1:8">
      <c r="A114" s="100"/>
      <c r="B114" s="74" t="s">
        <v>438</v>
      </c>
      <c r="C114" s="74" t="s">
        <v>439</v>
      </c>
      <c r="D114" s="74" t="s">
        <v>238</v>
      </c>
      <c r="E114" s="75">
        <v>1</v>
      </c>
      <c r="F114" s="133" t="s">
        <v>440</v>
      </c>
      <c r="G114" s="131">
        <v>363.48</v>
      </c>
      <c r="H114" s="132">
        <v>0.57999999999999996</v>
      </c>
    </row>
    <row r="115" spans="1:8">
      <c r="A115" s="100"/>
      <c r="B115" s="74" t="s">
        <v>441</v>
      </c>
      <c r="C115" s="74" t="s">
        <v>442</v>
      </c>
      <c r="D115" s="74" t="s">
        <v>238</v>
      </c>
      <c r="E115" s="75">
        <v>1</v>
      </c>
      <c r="F115" s="134" t="s">
        <v>440</v>
      </c>
      <c r="G115" s="131">
        <v>363.48</v>
      </c>
      <c r="H115" s="132">
        <v>0.57999999999999996</v>
      </c>
    </row>
    <row r="116" spans="1:8">
      <c r="A116" s="100"/>
      <c r="B116" s="74" t="s">
        <v>441</v>
      </c>
      <c r="C116" s="74" t="s">
        <v>442</v>
      </c>
      <c r="D116" s="74" t="s">
        <v>238</v>
      </c>
      <c r="E116" s="75">
        <v>1</v>
      </c>
      <c r="F116" s="133" t="s">
        <v>440</v>
      </c>
      <c r="G116" s="131">
        <v>363.48</v>
      </c>
      <c r="H116" s="132">
        <v>0.57999999999999996</v>
      </c>
    </row>
    <row r="117" spans="1:8">
      <c r="A117" s="100"/>
      <c r="B117" s="74" t="s">
        <v>443</v>
      </c>
      <c r="C117" s="74" t="s">
        <v>444</v>
      </c>
      <c r="D117" s="74" t="s">
        <v>238</v>
      </c>
      <c r="E117" s="75">
        <v>1</v>
      </c>
      <c r="F117" s="134" t="s">
        <v>445</v>
      </c>
      <c r="G117" s="131">
        <v>1171.06</v>
      </c>
      <c r="H117" s="132">
        <v>0.57999999999999996</v>
      </c>
    </row>
    <row r="118" spans="1:8">
      <c r="A118" s="100"/>
      <c r="B118" s="74" t="s">
        <v>446</v>
      </c>
      <c r="C118" s="74" t="s">
        <v>447</v>
      </c>
      <c r="D118" s="74" t="s">
        <v>238</v>
      </c>
      <c r="E118" s="75">
        <v>1</v>
      </c>
      <c r="F118" s="133" t="s">
        <v>448</v>
      </c>
      <c r="G118" s="131">
        <v>1480.34</v>
      </c>
      <c r="H118" s="132">
        <v>0.57999999999999996</v>
      </c>
    </row>
    <row r="119" spans="1:8">
      <c r="A119" s="100"/>
      <c r="B119" s="74" t="s">
        <v>449</v>
      </c>
      <c r="C119" s="74" t="s">
        <v>450</v>
      </c>
      <c r="D119" s="74" t="s">
        <v>238</v>
      </c>
      <c r="E119" s="75">
        <v>1</v>
      </c>
      <c r="F119" s="134" t="s">
        <v>448</v>
      </c>
      <c r="G119" s="131">
        <v>1480.34</v>
      </c>
      <c r="H119" s="132">
        <v>0.57999999999999996</v>
      </c>
    </row>
    <row r="120" spans="1:8">
      <c r="A120" s="100"/>
      <c r="B120" s="74" t="s">
        <v>451</v>
      </c>
      <c r="C120" s="74" t="s">
        <v>452</v>
      </c>
      <c r="D120" s="74" t="s">
        <v>238</v>
      </c>
      <c r="E120" s="75">
        <v>1</v>
      </c>
      <c r="F120" s="133" t="s">
        <v>453</v>
      </c>
      <c r="G120" s="131">
        <v>622.65</v>
      </c>
      <c r="H120" s="132">
        <v>0.57999999999999996</v>
      </c>
    </row>
    <row r="121" spans="1:8">
      <c r="A121" s="100"/>
      <c r="B121" s="74" t="s">
        <v>451</v>
      </c>
      <c r="C121" s="74" t="s">
        <v>452</v>
      </c>
      <c r="D121" s="74" t="s">
        <v>238</v>
      </c>
      <c r="E121" s="75">
        <v>1</v>
      </c>
      <c r="F121" s="134" t="s">
        <v>453</v>
      </c>
      <c r="G121" s="131">
        <v>622.65</v>
      </c>
      <c r="H121" s="132">
        <v>0.57999999999999996</v>
      </c>
    </row>
    <row r="122" spans="1:8">
      <c r="A122" s="100"/>
      <c r="B122" s="74" t="s">
        <v>454</v>
      </c>
      <c r="C122" s="74" t="s">
        <v>455</v>
      </c>
      <c r="D122" s="74" t="s">
        <v>238</v>
      </c>
      <c r="E122" s="75">
        <v>1</v>
      </c>
      <c r="F122" s="133" t="s">
        <v>456</v>
      </c>
      <c r="G122" s="131">
        <v>596.23</v>
      </c>
      <c r="H122" s="132">
        <v>0.57999999999999996</v>
      </c>
    </row>
    <row r="123" spans="1:8">
      <c r="A123" s="100"/>
      <c r="B123" s="74" t="s">
        <v>457</v>
      </c>
      <c r="C123" s="74" t="s">
        <v>458</v>
      </c>
      <c r="D123" s="74" t="s">
        <v>238</v>
      </c>
      <c r="E123" s="75">
        <v>1</v>
      </c>
      <c r="F123" s="134" t="s">
        <v>459</v>
      </c>
      <c r="G123" s="131">
        <v>2001.87</v>
      </c>
      <c r="H123" s="132">
        <v>0.57999999999999996</v>
      </c>
    </row>
    <row r="124" spans="1:8">
      <c r="A124" s="100"/>
      <c r="B124" s="74" t="s">
        <v>460</v>
      </c>
      <c r="C124" s="74" t="s">
        <v>461</v>
      </c>
      <c r="D124" s="74" t="s">
        <v>238</v>
      </c>
      <c r="E124" s="75">
        <v>1</v>
      </c>
      <c r="F124" s="133" t="s">
        <v>342</v>
      </c>
      <c r="G124" s="131">
        <v>1976.82</v>
      </c>
      <c r="H124" s="132">
        <v>0.57999999999999996</v>
      </c>
    </row>
    <row r="125" spans="1:8">
      <c r="A125" s="100"/>
      <c r="B125" s="74" t="s">
        <v>462</v>
      </c>
      <c r="C125" s="74" t="s">
        <v>463</v>
      </c>
      <c r="D125" s="74" t="s">
        <v>238</v>
      </c>
      <c r="E125" s="75">
        <v>1</v>
      </c>
      <c r="F125" s="134" t="s">
        <v>464</v>
      </c>
      <c r="G125" s="131">
        <v>391.72</v>
      </c>
      <c r="H125" s="132">
        <v>0.57999999999999996</v>
      </c>
    </row>
    <row r="126" spans="1:8">
      <c r="A126" s="100"/>
      <c r="B126" s="74" t="s">
        <v>465</v>
      </c>
      <c r="C126" s="74" t="s">
        <v>466</v>
      </c>
      <c r="D126" s="74" t="s">
        <v>238</v>
      </c>
      <c r="E126" s="75">
        <v>1</v>
      </c>
      <c r="F126" s="133" t="s">
        <v>467</v>
      </c>
      <c r="G126" s="131">
        <v>98.39</v>
      </c>
      <c r="H126" s="132">
        <v>0.57999999999999996</v>
      </c>
    </row>
    <row r="127" spans="1:8">
      <c r="A127" s="100"/>
      <c r="B127" s="74" t="s">
        <v>468</v>
      </c>
      <c r="C127" s="74" t="s">
        <v>469</v>
      </c>
      <c r="D127" s="74" t="s">
        <v>184</v>
      </c>
      <c r="E127" s="75">
        <v>1</v>
      </c>
      <c r="F127" s="134" t="s">
        <v>470</v>
      </c>
      <c r="G127" s="131">
        <v>6941.18</v>
      </c>
      <c r="H127" s="132">
        <v>0.55000000000000004</v>
      </c>
    </row>
    <row r="128" spans="1:8">
      <c r="A128" s="100"/>
      <c r="B128" s="74" t="s">
        <v>471</v>
      </c>
      <c r="C128" s="74" t="s">
        <v>472</v>
      </c>
      <c r="D128" s="74" t="s">
        <v>184</v>
      </c>
      <c r="E128" s="75">
        <v>1</v>
      </c>
      <c r="F128" s="133" t="s">
        <v>473</v>
      </c>
      <c r="G128" s="131">
        <v>7751.53</v>
      </c>
      <c r="H128" s="132">
        <v>0.55000000000000004</v>
      </c>
    </row>
    <row r="129" spans="1:8">
      <c r="A129" s="100"/>
      <c r="B129" s="74" t="s">
        <v>474</v>
      </c>
      <c r="C129" s="74" t="s">
        <v>475</v>
      </c>
      <c r="D129" s="74" t="s">
        <v>184</v>
      </c>
      <c r="E129" s="75">
        <v>1</v>
      </c>
      <c r="F129" s="134" t="s">
        <v>476</v>
      </c>
      <c r="G129" s="131">
        <v>3213.64</v>
      </c>
      <c r="H129" s="132">
        <v>0.55000000000000004</v>
      </c>
    </row>
    <row r="130" spans="1:8">
      <c r="A130" s="100"/>
      <c r="B130" s="74" t="s">
        <v>477</v>
      </c>
      <c r="C130" s="74" t="s">
        <v>478</v>
      </c>
      <c r="D130" s="74" t="s">
        <v>184</v>
      </c>
      <c r="E130" s="75">
        <v>1</v>
      </c>
      <c r="F130" s="133" t="s">
        <v>479</v>
      </c>
      <c r="G130" s="131">
        <v>9393.02</v>
      </c>
      <c r="H130" s="132">
        <v>0.55000000000000004</v>
      </c>
    </row>
    <row r="131" spans="1:8">
      <c r="A131" s="100"/>
      <c r="B131" s="74" t="s">
        <v>480</v>
      </c>
      <c r="C131" s="74" t="s">
        <v>481</v>
      </c>
      <c r="D131" s="74" t="s">
        <v>184</v>
      </c>
      <c r="E131" s="75">
        <v>1</v>
      </c>
      <c r="F131" s="134" t="s">
        <v>482</v>
      </c>
      <c r="G131" s="131">
        <v>7087.42</v>
      </c>
      <c r="H131" s="132">
        <v>0.55000000000000004</v>
      </c>
    </row>
    <row r="132" spans="1:8">
      <c r="A132" s="100"/>
      <c r="B132" s="74" t="s">
        <v>483</v>
      </c>
      <c r="C132" s="74" t="s">
        <v>484</v>
      </c>
      <c r="D132" s="74" t="s">
        <v>184</v>
      </c>
      <c r="E132" s="75">
        <v>1</v>
      </c>
      <c r="F132" s="133" t="s">
        <v>485</v>
      </c>
      <c r="G132" s="131">
        <v>4054.02</v>
      </c>
      <c r="H132" s="132">
        <v>0.55000000000000004</v>
      </c>
    </row>
    <row r="133" spans="1:8">
      <c r="A133" s="100"/>
      <c r="B133" s="74" t="s">
        <v>486</v>
      </c>
      <c r="C133" s="74" t="s">
        <v>487</v>
      </c>
      <c r="D133" s="74" t="s">
        <v>184</v>
      </c>
      <c r="E133" s="75">
        <v>1</v>
      </c>
      <c r="F133" s="134" t="s">
        <v>488</v>
      </c>
      <c r="G133" s="131">
        <v>2719.28</v>
      </c>
      <c r="H133" s="132">
        <v>0.55000000000000004</v>
      </c>
    </row>
    <row r="134" spans="1:8">
      <c r="A134" s="100"/>
      <c r="B134" s="74" t="s">
        <v>489</v>
      </c>
      <c r="C134" s="74" t="s">
        <v>490</v>
      </c>
      <c r="D134" s="74" t="s">
        <v>184</v>
      </c>
      <c r="E134" s="75">
        <v>1</v>
      </c>
      <c r="F134" s="133" t="s">
        <v>491</v>
      </c>
      <c r="G134" s="131">
        <v>1641.23</v>
      </c>
      <c r="H134" s="132">
        <v>0.55000000000000004</v>
      </c>
    </row>
    <row r="135" spans="1:8">
      <c r="A135" s="100"/>
      <c r="B135" s="74" t="s">
        <v>492</v>
      </c>
      <c r="C135" s="74" t="s">
        <v>493</v>
      </c>
      <c r="D135" s="74" t="s">
        <v>184</v>
      </c>
      <c r="E135" s="75">
        <v>1</v>
      </c>
      <c r="F135" s="134" t="s">
        <v>494</v>
      </c>
      <c r="G135" s="131">
        <v>3114.58</v>
      </c>
      <c r="H135" s="132">
        <v>0.55000000000000004</v>
      </c>
    </row>
    <row r="136" spans="1:8">
      <c r="A136" s="100"/>
      <c r="B136" s="74" t="s">
        <v>495</v>
      </c>
      <c r="C136" s="74" t="s">
        <v>496</v>
      </c>
      <c r="D136" s="74" t="s">
        <v>184</v>
      </c>
      <c r="E136" s="75">
        <v>1</v>
      </c>
      <c r="F136" s="133" t="s">
        <v>497</v>
      </c>
      <c r="G136" s="131">
        <v>5784.07</v>
      </c>
      <c r="H136" s="132">
        <v>0.55000000000000004</v>
      </c>
    </row>
    <row r="137" spans="1:8">
      <c r="A137" s="100"/>
      <c r="B137" s="74" t="s">
        <v>498</v>
      </c>
      <c r="C137" s="74" t="s">
        <v>499</v>
      </c>
      <c r="D137" s="74" t="s">
        <v>184</v>
      </c>
      <c r="E137" s="75">
        <v>1</v>
      </c>
      <c r="F137" s="134" t="s">
        <v>500</v>
      </c>
      <c r="G137" s="131">
        <v>2792.97</v>
      </c>
      <c r="H137" s="132">
        <v>0.55000000000000004</v>
      </c>
    </row>
    <row r="138" spans="1:8">
      <c r="A138" s="100"/>
      <c r="B138" s="74" t="s">
        <v>501</v>
      </c>
      <c r="C138" s="74" t="s">
        <v>502</v>
      </c>
      <c r="D138" s="74" t="s">
        <v>184</v>
      </c>
      <c r="E138" s="75">
        <v>1</v>
      </c>
      <c r="F138" s="133" t="s">
        <v>503</v>
      </c>
      <c r="G138" s="131">
        <v>5032.51</v>
      </c>
      <c r="H138" s="132">
        <v>0.55000000000000004</v>
      </c>
    </row>
    <row r="139" spans="1:8">
      <c r="A139" s="100"/>
      <c r="B139" s="74" t="s">
        <v>504</v>
      </c>
      <c r="C139" s="74" t="s">
        <v>505</v>
      </c>
      <c r="D139" s="74" t="s">
        <v>184</v>
      </c>
      <c r="E139" s="75">
        <v>1</v>
      </c>
      <c r="F139" s="134" t="s">
        <v>506</v>
      </c>
      <c r="G139" s="131">
        <v>1053.1600000000001</v>
      </c>
      <c r="H139" s="132">
        <v>0.55000000000000004</v>
      </c>
    </row>
    <row r="140" spans="1:8">
      <c r="A140" s="100"/>
      <c r="B140" s="74" t="s">
        <v>507</v>
      </c>
      <c r="C140" s="74" t="s">
        <v>508</v>
      </c>
      <c r="D140" s="74" t="s">
        <v>184</v>
      </c>
      <c r="E140" s="75">
        <v>1</v>
      </c>
      <c r="F140" s="133" t="s">
        <v>509</v>
      </c>
      <c r="G140" s="131">
        <v>2041.9</v>
      </c>
      <c r="H140" s="132">
        <v>0.55000000000000004</v>
      </c>
    </row>
    <row r="141" spans="1:8">
      <c r="A141" s="100"/>
      <c r="B141" s="74" t="s">
        <v>510</v>
      </c>
      <c r="C141" s="74" t="s">
        <v>511</v>
      </c>
      <c r="D141" s="74" t="s">
        <v>184</v>
      </c>
      <c r="E141" s="75">
        <v>1</v>
      </c>
      <c r="F141" s="134" t="s">
        <v>512</v>
      </c>
      <c r="G141" s="131">
        <v>8157.34</v>
      </c>
      <c r="H141" s="132">
        <v>0.55000000000000004</v>
      </c>
    </row>
    <row r="142" spans="1:8">
      <c r="A142" s="100"/>
      <c r="B142" s="74" t="s">
        <v>513</v>
      </c>
      <c r="C142" s="74" t="s">
        <v>514</v>
      </c>
      <c r="D142" s="74" t="s">
        <v>184</v>
      </c>
      <c r="E142" s="75">
        <v>1</v>
      </c>
      <c r="F142" s="133" t="s">
        <v>515</v>
      </c>
      <c r="G142" s="131">
        <v>9887.39</v>
      </c>
      <c r="H142" s="132">
        <v>0.55000000000000004</v>
      </c>
    </row>
    <row r="143" spans="1:8">
      <c r="A143" s="100"/>
      <c r="B143" s="74" t="s">
        <v>516</v>
      </c>
      <c r="C143" s="74" t="s">
        <v>517</v>
      </c>
      <c r="D143" s="74" t="s">
        <v>184</v>
      </c>
      <c r="E143" s="75">
        <v>1</v>
      </c>
      <c r="F143" s="134" t="s">
        <v>518</v>
      </c>
      <c r="G143" s="131">
        <v>11414.9</v>
      </c>
      <c r="H143" s="132">
        <v>0.55000000000000004</v>
      </c>
    </row>
    <row r="144" spans="1:8">
      <c r="A144" s="100"/>
      <c r="B144" s="74" t="s">
        <v>519</v>
      </c>
      <c r="C144" s="74" t="s">
        <v>520</v>
      </c>
      <c r="D144" s="74" t="s">
        <v>184</v>
      </c>
      <c r="E144" s="75">
        <v>1</v>
      </c>
      <c r="F144" s="133" t="s">
        <v>521</v>
      </c>
      <c r="G144" s="131">
        <v>2196.11</v>
      </c>
      <c r="H144" s="132">
        <v>0.57999999999999996</v>
      </c>
    </row>
    <row r="145" spans="1:8">
      <c r="A145" s="100"/>
      <c r="B145" s="74" t="s">
        <v>522</v>
      </c>
      <c r="C145" s="74" t="s">
        <v>523</v>
      </c>
      <c r="D145" s="74" t="s">
        <v>184</v>
      </c>
      <c r="E145" s="75">
        <v>1</v>
      </c>
      <c r="F145" s="134" t="s">
        <v>524</v>
      </c>
      <c r="G145" s="131">
        <v>196.77</v>
      </c>
      <c r="H145" s="132">
        <v>0.57999999999999996</v>
      </c>
    </row>
    <row r="146" spans="1:8">
      <c r="A146" s="100"/>
      <c r="B146" s="74" t="s">
        <v>525</v>
      </c>
      <c r="C146" s="74" t="s">
        <v>526</v>
      </c>
      <c r="D146" s="74" t="s">
        <v>184</v>
      </c>
      <c r="E146" s="75">
        <v>1</v>
      </c>
      <c r="F146" s="133" t="s">
        <v>527</v>
      </c>
      <c r="G146" s="131">
        <v>366.21</v>
      </c>
      <c r="H146" s="132">
        <v>0.57999999999999996</v>
      </c>
    </row>
    <row r="147" spans="1:8">
      <c r="A147" s="100"/>
      <c r="B147" s="74" t="s">
        <v>528</v>
      </c>
      <c r="C147" s="74" t="s">
        <v>529</v>
      </c>
      <c r="D147" s="74" t="s">
        <v>184</v>
      </c>
      <c r="E147" s="75">
        <v>1</v>
      </c>
      <c r="F147" s="134" t="s">
        <v>530</v>
      </c>
      <c r="G147" s="131">
        <v>674.13</v>
      </c>
      <c r="H147" s="132">
        <v>0.57999999999999996</v>
      </c>
    </row>
    <row r="148" spans="1:8" ht="15.75" thickBot="1">
      <c r="A148" s="101"/>
      <c r="B148" s="74" t="s">
        <v>531</v>
      </c>
      <c r="C148" s="74" t="s">
        <v>532</v>
      </c>
      <c r="D148" s="74" t="s">
        <v>184</v>
      </c>
      <c r="E148" s="75">
        <v>1</v>
      </c>
      <c r="F148" s="133" t="s">
        <v>533</v>
      </c>
      <c r="G148" s="131">
        <v>6149.12</v>
      </c>
      <c r="H148" s="132">
        <v>0.57999999999999996</v>
      </c>
    </row>
    <row r="149" spans="1:8">
      <c r="A149" s="72"/>
      <c r="B149" s="72"/>
      <c r="C149" s="72"/>
      <c r="D149" s="73"/>
      <c r="E149" s="73"/>
    </row>
    <row r="150" spans="1:8">
      <c r="A150" s="69"/>
      <c r="B150" s="69"/>
      <c r="C150" s="69"/>
      <c r="D150" s="69"/>
      <c r="E150" s="69"/>
    </row>
    <row r="151" spans="1:8">
      <c r="A151" s="69"/>
      <c r="B151" s="69"/>
      <c r="C151" s="69"/>
      <c r="D151" s="69"/>
      <c r="E151" s="6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29:A34"/>
  <sheetViews>
    <sheetView workbookViewId="0">
      <selection activeCell="Q23" sqref="Q23"/>
    </sheetView>
  </sheetViews>
  <sheetFormatPr defaultRowHeight="12.75"/>
  <cols>
    <col min="1" max="1" width="11.28515625" bestFit="1" customWidth="1"/>
  </cols>
  <sheetData>
    <row r="29" ht="64.5" customHeight="1"/>
    <row r="30" ht="11.25" customHeight="1"/>
    <row r="31" ht="101.25" customHeight="1"/>
    <row r="32" ht="14.25" customHeight="1"/>
    <row r="33" ht="101.25" customHeight="1"/>
    <row r="34" ht="15.75" customHeight="1"/>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P91"/>
  <sheetViews>
    <sheetView zoomScale="85" zoomScaleNormal="85" workbookViewId="0">
      <pane xSplit="3" ySplit="5" topLeftCell="D48" activePane="bottomRight" state="frozen"/>
      <selection pane="topRight" activeCell="G80" sqref="G80"/>
      <selection pane="bottomLeft" activeCell="G80" sqref="G80"/>
      <selection pane="bottomRight" activeCell="N50" sqref="N50"/>
    </sheetView>
  </sheetViews>
  <sheetFormatPr defaultColWidth="0" defaultRowHeight="12.75" zeroHeight="1"/>
  <cols>
    <col min="1" max="1" width="22.28515625" style="18" bestFit="1" customWidth="1"/>
    <col min="2" max="2" width="4.5703125" style="52" bestFit="1" customWidth="1"/>
    <col min="3" max="3" width="22.7109375" style="18" bestFit="1" customWidth="1"/>
    <col min="4" max="4" width="12.7109375" style="18" bestFit="1" customWidth="1"/>
    <col min="5" max="5" width="14.140625" style="18" bestFit="1" customWidth="1"/>
    <col min="6" max="6" width="17.7109375" style="18" bestFit="1" customWidth="1"/>
    <col min="7" max="7" width="31.140625" style="18" bestFit="1" customWidth="1"/>
    <col min="8" max="8" width="15.42578125" style="18" bestFit="1" customWidth="1"/>
    <col min="9" max="9" width="13.140625" style="53" bestFit="1" customWidth="1"/>
    <col min="10" max="10" width="15.42578125" style="53" bestFit="1" customWidth="1"/>
    <col min="11" max="11" width="14" style="53" bestFit="1" customWidth="1"/>
    <col min="12" max="12" width="11.42578125" style="54" bestFit="1" customWidth="1"/>
    <col min="13" max="13" width="23.140625" style="18" bestFit="1" customWidth="1"/>
    <col min="14" max="14" width="19.28515625" style="18" bestFit="1" customWidth="1"/>
    <col min="15" max="16" width="0" style="18" hidden="1" customWidth="1"/>
    <col min="17" max="16384" width="11.5703125" style="18" hidden="1"/>
  </cols>
  <sheetData>
    <row r="1" spans="1:14" s="14" customFormat="1" ht="27.75" customHeight="1">
      <c r="A1" s="259" t="s">
        <v>534</v>
      </c>
      <c r="B1" s="260"/>
      <c r="C1" s="260"/>
      <c r="D1" s="260"/>
      <c r="E1" s="260"/>
      <c r="F1" s="260"/>
      <c r="G1" s="260"/>
      <c r="H1" s="260"/>
      <c r="I1" s="260"/>
      <c r="J1" s="260"/>
      <c r="K1" s="260"/>
      <c r="L1" s="260"/>
      <c r="M1" s="260"/>
      <c r="N1" s="261"/>
    </row>
    <row r="2" spans="1:14" s="17" customFormat="1" ht="3.2" customHeight="1">
      <c r="A2" s="137"/>
      <c r="B2" s="138"/>
      <c r="C2" s="138"/>
      <c r="D2" s="138"/>
      <c r="E2" s="138"/>
      <c r="F2" s="138"/>
      <c r="G2" s="138"/>
      <c r="H2" s="138"/>
      <c r="I2" s="138"/>
      <c r="J2" s="138"/>
      <c r="K2" s="15"/>
      <c r="L2" s="15"/>
      <c r="M2" s="16"/>
      <c r="N2" s="16"/>
    </row>
    <row r="3" spans="1:14" ht="63.75">
      <c r="A3" s="262" t="s">
        <v>535</v>
      </c>
      <c r="B3" s="139"/>
      <c r="C3" s="264" t="s">
        <v>536</v>
      </c>
      <c r="D3" s="140" t="s">
        <v>537</v>
      </c>
      <c r="E3" s="140" t="s">
        <v>538</v>
      </c>
      <c r="F3" s="140" t="s">
        <v>539</v>
      </c>
      <c r="G3" s="140" t="s">
        <v>540</v>
      </c>
      <c r="H3" s="140" t="s">
        <v>541</v>
      </c>
      <c r="I3" s="140" t="s">
        <v>542</v>
      </c>
      <c r="J3" s="140" t="s">
        <v>543</v>
      </c>
      <c r="K3" s="140" t="s">
        <v>544</v>
      </c>
      <c r="L3" s="140" t="s">
        <v>545</v>
      </c>
      <c r="M3" s="141" t="s">
        <v>546</v>
      </c>
      <c r="N3" s="142" t="s">
        <v>547</v>
      </c>
    </row>
    <row r="4" spans="1:14" ht="25.5">
      <c r="A4" s="263"/>
      <c r="B4" s="19"/>
      <c r="C4" s="265"/>
      <c r="D4" s="143" t="s">
        <v>548</v>
      </c>
      <c r="E4" s="143" t="s">
        <v>549</v>
      </c>
      <c r="F4" s="143" t="s">
        <v>550</v>
      </c>
      <c r="G4" s="143" t="s">
        <v>551</v>
      </c>
      <c r="H4" s="143" t="s">
        <v>552</v>
      </c>
      <c r="I4" s="143" t="s">
        <v>553</v>
      </c>
      <c r="J4" s="143" t="s">
        <v>553</v>
      </c>
      <c r="K4" s="143" t="s">
        <v>554</v>
      </c>
      <c r="L4" s="143" t="s">
        <v>555</v>
      </c>
      <c r="M4" s="144" t="s">
        <v>556</v>
      </c>
      <c r="N4" s="20"/>
    </row>
    <row r="5" spans="1:14" s="23" customFormat="1" ht="3.6" customHeight="1">
      <c r="A5" s="21"/>
      <c r="B5" s="145"/>
      <c r="C5" s="146"/>
      <c r="D5" s="146"/>
      <c r="E5" s="146"/>
      <c r="F5" s="146"/>
      <c r="G5" s="146"/>
      <c r="H5" s="146"/>
      <c r="I5" s="146"/>
      <c r="J5" s="146"/>
      <c r="K5" s="146"/>
      <c r="L5" s="146"/>
      <c r="M5" s="147"/>
      <c r="N5" s="22"/>
    </row>
    <row r="6" spans="1:14">
      <c r="A6" s="24" t="s">
        <v>557</v>
      </c>
      <c r="B6" s="148" t="s">
        <v>558</v>
      </c>
      <c r="C6" s="149" t="s">
        <v>559</v>
      </c>
      <c r="D6" s="150"/>
      <c r="E6" s="150"/>
      <c r="F6" s="150"/>
      <c r="G6" s="151"/>
      <c r="H6" s="152"/>
      <c r="I6" s="152"/>
      <c r="J6" s="152"/>
      <c r="K6" s="150"/>
      <c r="L6" s="150"/>
      <c r="M6" s="153"/>
      <c r="N6" s="25"/>
    </row>
    <row r="7" spans="1:14">
      <c r="A7" s="24"/>
      <c r="B7" s="148" t="s">
        <v>560</v>
      </c>
      <c r="C7" s="149" t="s">
        <v>561</v>
      </c>
      <c r="D7" s="150" t="s">
        <v>562</v>
      </c>
      <c r="E7" s="150" t="s">
        <v>563</v>
      </c>
      <c r="F7" s="150" t="s">
        <v>564</v>
      </c>
      <c r="G7" s="151">
        <v>0</v>
      </c>
      <c r="H7" s="152">
        <v>0</v>
      </c>
      <c r="I7" s="152">
        <v>0</v>
      </c>
      <c r="J7" s="152">
        <v>0.2</v>
      </c>
      <c r="K7" s="150">
        <v>12</v>
      </c>
      <c r="L7" s="150" t="s">
        <v>565</v>
      </c>
      <c r="M7" s="153"/>
      <c r="N7" s="25"/>
    </row>
    <row r="8" spans="1:14">
      <c r="A8" s="26"/>
      <c r="B8" s="148" t="s">
        <v>566</v>
      </c>
      <c r="C8" s="149" t="s">
        <v>567</v>
      </c>
      <c r="D8" s="150" t="s">
        <v>562</v>
      </c>
      <c r="E8" s="150" t="s">
        <v>563</v>
      </c>
      <c r="F8" s="150" t="s">
        <v>564</v>
      </c>
      <c r="G8" s="151">
        <v>0</v>
      </c>
      <c r="H8" s="152">
        <v>0</v>
      </c>
      <c r="I8" s="152">
        <v>0</v>
      </c>
      <c r="J8" s="152">
        <v>0.21</v>
      </c>
      <c r="K8" s="150">
        <v>12</v>
      </c>
      <c r="L8" s="150" t="s">
        <v>565</v>
      </c>
      <c r="M8" s="153"/>
      <c r="N8" s="25"/>
    </row>
    <row r="9" spans="1:14">
      <c r="A9" s="26"/>
      <c r="B9" s="148" t="s">
        <v>568</v>
      </c>
      <c r="C9" s="149" t="s">
        <v>569</v>
      </c>
      <c r="D9" s="150"/>
      <c r="E9" s="150"/>
      <c r="F9" s="150"/>
      <c r="G9" s="151"/>
      <c r="H9" s="152"/>
      <c r="I9" s="152"/>
      <c r="J9" s="152"/>
      <c r="K9" s="150"/>
      <c r="L9" s="150" t="s">
        <v>565</v>
      </c>
      <c r="M9" s="153"/>
      <c r="N9" s="25"/>
    </row>
    <row r="10" spans="1:14">
      <c r="A10" s="26"/>
      <c r="B10" s="148" t="s">
        <v>570</v>
      </c>
      <c r="C10" s="149" t="s">
        <v>571</v>
      </c>
      <c r="D10" s="150" t="s">
        <v>572</v>
      </c>
      <c r="E10" s="150" t="s">
        <v>563</v>
      </c>
      <c r="F10" s="150" t="s">
        <v>573</v>
      </c>
      <c r="G10" s="150" t="s">
        <v>573</v>
      </c>
      <c r="H10" s="152">
        <v>0.05</v>
      </c>
      <c r="I10" s="152">
        <v>0</v>
      </c>
      <c r="J10" s="152">
        <v>0.15</v>
      </c>
      <c r="K10" s="150" t="s">
        <v>574</v>
      </c>
      <c r="L10" s="150" t="s">
        <v>565</v>
      </c>
      <c r="M10" s="153"/>
      <c r="N10" s="27" t="s">
        <v>575</v>
      </c>
    </row>
    <row r="11" spans="1:14">
      <c r="A11" s="28"/>
      <c r="B11" s="148" t="s">
        <v>576</v>
      </c>
      <c r="C11" s="149" t="s">
        <v>577</v>
      </c>
      <c r="D11" s="150" t="s">
        <v>562</v>
      </c>
      <c r="E11" s="150" t="s">
        <v>563</v>
      </c>
      <c r="F11" s="150" t="s">
        <v>564</v>
      </c>
      <c r="G11" s="154">
        <v>0</v>
      </c>
      <c r="H11" s="152">
        <v>0</v>
      </c>
      <c r="I11" s="152">
        <v>0</v>
      </c>
      <c r="J11" s="152">
        <v>0.25</v>
      </c>
      <c r="K11" s="150">
        <v>12</v>
      </c>
      <c r="L11" s="150" t="s">
        <v>565</v>
      </c>
      <c r="M11" s="153"/>
      <c r="N11" s="25"/>
    </row>
    <row r="12" spans="1:14">
      <c r="A12" s="28"/>
      <c r="B12" s="148" t="s">
        <v>578</v>
      </c>
      <c r="C12" s="149" t="s">
        <v>579</v>
      </c>
      <c r="D12" s="150" t="s">
        <v>562</v>
      </c>
      <c r="E12" s="150" t="s">
        <v>563</v>
      </c>
      <c r="F12" s="150" t="s">
        <v>564</v>
      </c>
      <c r="G12" s="151">
        <v>0</v>
      </c>
      <c r="H12" s="152">
        <v>0</v>
      </c>
      <c r="I12" s="152">
        <v>0</v>
      </c>
      <c r="J12" s="152">
        <v>0.22</v>
      </c>
      <c r="K12" s="150">
        <v>15</v>
      </c>
      <c r="L12" s="150" t="s">
        <v>565</v>
      </c>
      <c r="M12" s="153"/>
      <c r="N12" s="25"/>
    </row>
    <row r="13" spans="1:14">
      <c r="A13" s="28"/>
      <c r="B13" s="148" t="s">
        <v>580</v>
      </c>
      <c r="C13" s="149" t="s">
        <v>581</v>
      </c>
      <c r="D13" s="150" t="s">
        <v>562</v>
      </c>
      <c r="E13" s="150" t="s">
        <v>563</v>
      </c>
      <c r="F13" s="150" t="s">
        <v>564</v>
      </c>
      <c r="G13" s="151">
        <v>0</v>
      </c>
      <c r="H13" s="152">
        <v>0</v>
      </c>
      <c r="I13" s="152">
        <v>0</v>
      </c>
      <c r="J13" s="152">
        <v>0.19600000000000001</v>
      </c>
      <c r="K13" s="150">
        <v>12</v>
      </c>
      <c r="L13" s="150" t="s">
        <v>565</v>
      </c>
      <c r="M13" s="153"/>
      <c r="N13" s="25"/>
    </row>
    <row r="14" spans="1:14">
      <c r="A14" s="28"/>
      <c r="B14" s="148" t="s">
        <v>582</v>
      </c>
      <c r="C14" s="149" t="s">
        <v>583</v>
      </c>
      <c r="D14" s="150" t="s">
        <v>562</v>
      </c>
      <c r="E14" s="150" t="s">
        <v>563</v>
      </c>
      <c r="F14" s="150" t="s">
        <v>564</v>
      </c>
      <c r="G14" s="151">
        <v>0</v>
      </c>
      <c r="H14" s="152">
        <v>0</v>
      </c>
      <c r="I14" s="152">
        <v>0</v>
      </c>
      <c r="J14" s="152">
        <v>0.19</v>
      </c>
      <c r="K14" s="150">
        <v>11</v>
      </c>
      <c r="L14" s="150" t="s">
        <v>565</v>
      </c>
      <c r="M14" s="153"/>
      <c r="N14" s="25"/>
    </row>
    <row r="15" spans="1:14">
      <c r="A15" s="28"/>
      <c r="B15" s="148" t="s">
        <v>584</v>
      </c>
      <c r="C15" s="149" t="s">
        <v>585</v>
      </c>
      <c r="D15" s="150" t="s">
        <v>562</v>
      </c>
      <c r="E15" s="150" t="s">
        <v>563</v>
      </c>
      <c r="F15" s="150" t="s">
        <v>564</v>
      </c>
      <c r="G15" s="151">
        <v>0</v>
      </c>
      <c r="H15" s="152">
        <v>0</v>
      </c>
      <c r="I15" s="152">
        <v>0</v>
      </c>
      <c r="J15" s="152">
        <v>0.19</v>
      </c>
      <c r="K15" s="150">
        <v>15</v>
      </c>
      <c r="L15" s="150" t="s">
        <v>565</v>
      </c>
      <c r="M15" s="153"/>
      <c r="N15" s="25"/>
    </row>
    <row r="16" spans="1:14" ht="13.5" customHeight="1">
      <c r="A16" s="28"/>
      <c r="B16" s="148" t="s">
        <v>586</v>
      </c>
      <c r="C16" s="149" t="s">
        <v>587</v>
      </c>
      <c r="D16" s="150" t="s">
        <v>562</v>
      </c>
      <c r="E16" s="150" t="s">
        <v>563</v>
      </c>
      <c r="F16" s="150" t="s">
        <v>564</v>
      </c>
      <c r="G16" s="151">
        <v>0</v>
      </c>
      <c r="H16" s="152">
        <v>0</v>
      </c>
      <c r="I16" s="152">
        <v>0</v>
      </c>
      <c r="J16" s="152">
        <v>0.21</v>
      </c>
      <c r="K16" s="150">
        <v>14</v>
      </c>
      <c r="L16" s="150" t="s">
        <v>565</v>
      </c>
      <c r="M16" s="153"/>
      <c r="N16" s="25"/>
    </row>
    <row r="17" spans="1:16" ht="13.5" customHeight="1">
      <c r="A17" s="28"/>
      <c r="B17" s="148" t="s">
        <v>588</v>
      </c>
      <c r="C17" s="149" t="s">
        <v>589</v>
      </c>
      <c r="D17" s="150" t="s">
        <v>562</v>
      </c>
      <c r="E17" s="150" t="s">
        <v>563</v>
      </c>
      <c r="F17" s="150" t="s">
        <v>564</v>
      </c>
      <c r="G17" s="151">
        <v>0</v>
      </c>
      <c r="H17" s="152">
        <v>0</v>
      </c>
      <c r="I17" s="152">
        <v>0</v>
      </c>
      <c r="J17" s="152">
        <v>0.2</v>
      </c>
      <c r="K17" s="150">
        <v>12</v>
      </c>
      <c r="L17" s="150" t="s">
        <v>565</v>
      </c>
      <c r="M17" s="153"/>
      <c r="N17" s="25"/>
    </row>
    <row r="18" spans="1:16" ht="13.5" customHeight="1">
      <c r="A18" s="28"/>
      <c r="B18" s="148" t="s">
        <v>590</v>
      </c>
      <c r="C18" s="149" t="s">
        <v>591</v>
      </c>
      <c r="D18" s="150" t="s">
        <v>562</v>
      </c>
      <c r="E18" s="150" t="s">
        <v>563</v>
      </c>
      <c r="F18" s="150" t="s">
        <v>564</v>
      </c>
      <c r="G18" s="151">
        <v>0</v>
      </c>
      <c r="H18" s="152">
        <v>0</v>
      </c>
      <c r="I18" s="152">
        <v>0</v>
      </c>
      <c r="J18" s="152">
        <v>0.15</v>
      </c>
      <c r="K18" s="150">
        <v>12</v>
      </c>
      <c r="L18" s="150" t="s">
        <v>565</v>
      </c>
      <c r="M18" s="153"/>
      <c r="N18" s="25"/>
    </row>
    <row r="19" spans="1:16" ht="13.5" customHeight="1">
      <c r="A19" s="28"/>
      <c r="B19" s="148" t="s">
        <v>592</v>
      </c>
      <c r="C19" s="149" t="s">
        <v>593</v>
      </c>
      <c r="D19" s="150" t="s">
        <v>562</v>
      </c>
      <c r="E19" s="150" t="s">
        <v>563</v>
      </c>
      <c r="F19" s="150" t="s">
        <v>564</v>
      </c>
      <c r="G19" s="151">
        <v>0</v>
      </c>
      <c r="H19" s="152">
        <v>0</v>
      </c>
      <c r="I19" s="152">
        <v>0</v>
      </c>
      <c r="J19" s="152">
        <v>0.19</v>
      </c>
      <c r="K19" s="150">
        <v>12</v>
      </c>
      <c r="L19" s="150" t="s">
        <v>565</v>
      </c>
      <c r="M19" s="153"/>
      <c r="N19" s="25"/>
    </row>
    <row r="20" spans="1:16" ht="13.5" customHeight="1">
      <c r="A20" s="28"/>
      <c r="B20" s="148" t="s">
        <v>594</v>
      </c>
      <c r="C20" s="149" t="s">
        <v>595</v>
      </c>
      <c r="D20" s="150" t="s">
        <v>562</v>
      </c>
      <c r="E20" s="150" t="s">
        <v>563</v>
      </c>
      <c r="F20" s="150" t="s">
        <v>564</v>
      </c>
      <c r="G20" s="155">
        <v>0</v>
      </c>
      <c r="H20" s="152">
        <v>0</v>
      </c>
      <c r="I20" s="152">
        <v>0</v>
      </c>
      <c r="J20" s="152">
        <v>0.25</v>
      </c>
      <c r="K20" s="150">
        <v>12</v>
      </c>
      <c r="L20" s="150" t="s">
        <v>565</v>
      </c>
      <c r="M20" s="153"/>
      <c r="N20" s="25"/>
    </row>
    <row r="21" spans="1:16" ht="13.5" customHeight="1">
      <c r="A21" s="28"/>
      <c r="B21" s="148" t="s">
        <v>596</v>
      </c>
      <c r="C21" s="149" t="s">
        <v>597</v>
      </c>
      <c r="D21" s="150" t="s">
        <v>562</v>
      </c>
      <c r="E21" s="150" t="s">
        <v>563</v>
      </c>
      <c r="F21" s="150" t="s">
        <v>564</v>
      </c>
      <c r="G21" s="151">
        <v>0</v>
      </c>
      <c r="H21" s="152">
        <v>0</v>
      </c>
      <c r="I21" s="152">
        <v>0</v>
      </c>
      <c r="J21" s="152">
        <v>0.21</v>
      </c>
      <c r="K21" s="150">
        <v>15</v>
      </c>
      <c r="L21" s="150" t="s">
        <v>565</v>
      </c>
      <c r="M21" s="153"/>
      <c r="N21" s="25"/>
    </row>
    <row r="22" spans="1:16" ht="13.5" customHeight="1">
      <c r="A22" s="28"/>
      <c r="B22" s="148" t="s">
        <v>598</v>
      </c>
      <c r="C22" s="149" t="s">
        <v>599</v>
      </c>
      <c r="D22" s="150" t="s">
        <v>562</v>
      </c>
      <c r="E22" s="150" t="s">
        <v>563</v>
      </c>
      <c r="F22" s="150" t="s">
        <v>564</v>
      </c>
      <c r="G22" s="156">
        <v>0</v>
      </c>
      <c r="H22" s="152">
        <v>0</v>
      </c>
      <c r="I22" s="152">
        <v>0</v>
      </c>
      <c r="J22" s="152">
        <v>0.25</v>
      </c>
      <c r="K22" s="150">
        <v>12</v>
      </c>
      <c r="L22" s="150" t="s">
        <v>565</v>
      </c>
      <c r="M22" s="153"/>
      <c r="N22" s="25"/>
    </row>
    <row r="23" spans="1:16" ht="13.5" customHeight="1">
      <c r="A23" s="28"/>
      <c r="B23" s="148" t="s">
        <v>600</v>
      </c>
      <c r="C23" s="149" t="s">
        <v>601</v>
      </c>
      <c r="D23" s="150" t="s">
        <v>562</v>
      </c>
      <c r="E23" s="150" t="s">
        <v>563</v>
      </c>
      <c r="F23" s="150" t="s">
        <v>564</v>
      </c>
      <c r="G23" s="151">
        <v>0</v>
      </c>
      <c r="H23" s="152">
        <v>0</v>
      </c>
      <c r="I23" s="152">
        <v>0</v>
      </c>
      <c r="J23" s="152">
        <v>0.16</v>
      </c>
      <c r="K23" s="150">
        <v>13</v>
      </c>
      <c r="L23" s="150" t="s">
        <v>565</v>
      </c>
      <c r="M23" s="153"/>
      <c r="N23" s="25"/>
    </row>
    <row r="24" spans="1:16" ht="13.5" customHeight="1">
      <c r="A24" s="28"/>
      <c r="B24" s="148" t="s">
        <v>602</v>
      </c>
      <c r="C24" s="149" t="s">
        <v>603</v>
      </c>
      <c r="D24" s="150" t="s">
        <v>562</v>
      </c>
      <c r="E24" s="150" t="s">
        <v>563</v>
      </c>
      <c r="F24" s="150" t="s">
        <v>564</v>
      </c>
      <c r="G24" s="157">
        <v>0</v>
      </c>
      <c r="H24" s="152">
        <v>0</v>
      </c>
      <c r="I24" s="152">
        <v>0</v>
      </c>
      <c r="J24" s="152">
        <v>7.5999999999999998E-2</v>
      </c>
      <c r="K24" s="150">
        <v>12</v>
      </c>
      <c r="L24" s="150" t="s">
        <v>565</v>
      </c>
      <c r="M24" s="153"/>
      <c r="N24" s="25"/>
    </row>
    <row r="25" spans="1:16" ht="13.5" customHeight="1">
      <c r="A25" s="28"/>
      <c r="B25" s="148" t="s">
        <v>604</v>
      </c>
      <c r="C25" s="149" t="s">
        <v>605</v>
      </c>
      <c r="D25" s="150" t="s">
        <v>572</v>
      </c>
      <c r="E25" s="150" t="s">
        <v>563</v>
      </c>
      <c r="F25" s="150" t="s">
        <v>573</v>
      </c>
      <c r="G25" s="158" t="s">
        <v>573</v>
      </c>
      <c r="H25" s="152">
        <v>0.05</v>
      </c>
      <c r="I25" s="152">
        <v>0.04</v>
      </c>
      <c r="J25" s="152">
        <v>0.18</v>
      </c>
      <c r="K25" s="150">
        <v>37</v>
      </c>
      <c r="L25" s="150" t="s">
        <v>565</v>
      </c>
      <c r="M25" s="153"/>
      <c r="N25" s="27" t="s">
        <v>575</v>
      </c>
    </row>
    <row r="26" spans="1:16" ht="13.5" customHeight="1">
      <c r="A26" s="28"/>
      <c r="B26" s="148" t="s">
        <v>606</v>
      </c>
      <c r="C26" s="149" t="s">
        <v>607</v>
      </c>
      <c r="D26" s="150" t="s">
        <v>562</v>
      </c>
      <c r="E26" s="150" t="s">
        <v>563</v>
      </c>
      <c r="F26" s="150" t="s">
        <v>564</v>
      </c>
      <c r="G26" s="159">
        <v>0</v>
      </c>
      <c r="H26" s="152">
        <v>0</v>
      </c>
      <c r="I26" s="152">
        <v>0</v>
      </c>
      <c r="J26" s="152">
        <v>0.2</v>
      </c>
      <c r="K26" s="150">
        <v>12</v>
      </c>
      <c r="L26" s="150" t="s">
        <v>565</v>
      </c>
      <c r="M26" s="153"/>
      <c r="N26" s="25"/>
    </row>
    <row r="27" spans="1:16" s="23" customFormat="1" ht="3.6" customHeight="1">
      <c r="A27" s="21"/>
      <c r="B27" s="145"/>
      <c r="C27" s="146"/>
      <c r="D27" s="160"/>
      <c r="E27" s="160"/>
      <c r="F27" s="160"/>
      <c r="G27" s="161"/>
      <c r="H27" s="162"/>
      <c r="I27" s="162"/>
      <c r="J27" s="162"/>
      <c r="K27" s="160"/>
      <c r="L27" s="160"/>
      <c r="M27" s="163"/>
      <c r="N27" s="29"/>
    </row>
    <row r="28" spans="1:16">
      <c r="A28" s="26" t="s">
        <v>608</v>
      </c>
      <c r="B28" s="148" t="s">
        <v>609</v>
      </c>
      <c r="C28" s="149" t="s">
        <v>610</v>
      </c>
      <c r="D28" s="150" t="s">
        <v>562</v>
      </c>
      <c r="E28" s="150" t="s">
        <v>563</v>
      </c>
      <c r="F28" s="150" t="s">
        <v>564</v>
      </c>
      <c r="G28" s="164">
        <v>0</v>
      </c>
      <c r="H28" s="152">
        <v>0</v>
      </c>
      <c r="I28" s="152">
        <v>0</v>
      </c>
      <c r="J28" s="152">
        <v>0.2</v>
      </c>
      <c r="K28" s="150">
        <v>12</v>
      </c>
      <c r="L28" s="150" t="s">
        <v>565</v>
      </c>
      <c r="M28" s="153"/>
      <c r="N28" s="25"/>
    </row>
    <row r="29" spans="1:16">
      <c r="A29" s="26"/>
      <c r="B29" s="148" t="s">
        <v>611</v>
      </c>
      <c r="C29" s="149" t="s">
        <v>612</v>
      </c>
      <c r="D29" s="150" t="s">
        <v>613</v>
      </c>
      <c r="E29" s="150" t="s">
        <v>563</v>
      </c>
      <c r="F29" s="150" t="s">
        <v>573</v>
      </c>
      <c r="G29" s="158" t="s">
        <v>573</v>
      </c>
      <c r="H29" s="152">
        <v>0.05</v>
      </c>
      <c r="I29" s="152">
        <v>0.06</v>
      </c>
      <c r="J29" s="152">
        <v>0.17</v>
      </c>
      <c r="K29" s="150">
        <v>32</v>
      </c>
      <c r="L29" s="150" t="s">
        <v>565</v>
      </c>
      <c r="M29" s="153"/>
      <c r="N29" s="27" t="s">
        <v>575</v>
      </c>
    </row>
    <row r="30" spans="1:16" ht="13.5" customHeight="1">
      <c r="A30" s="26"/>
      <c r="B30" s="148" t="s">
        <v>614</v>
      </c>
      <c r="C30" s="149" t="s">
        <v>615</v>
      </c>
      <c r="D30" s="150" t="s">
        <v>613</v>
      </c>
      <c r="E30" s="150" t="s">
        <v>563</v>
      </c>
      <c r="F30" s="150" t="s">
        <v>573</v>
      </c>
      <c r="G30" s="158" t="s">
        <v>573</v>
      </c>
      <c r="H30" s="152">
        <v>0.05</v>
      </c>
      <c r="I30" s="152">
        <v>0.01</v>
      </c>
      <c r="J30" s="152">
        <v>0.2</v>
      </c>
      <c r="K30" s="150">
        <v>26</v>
      </c>
      <c r="L30" s="150" t="s">
        <v>565</v>
      </c>
      <c r="M30" s="153"/>
      <c r="N30" s="27" t="s">
        <v>575</v>
      </c>
      <c r="P30" s="30"/>
    </row>
    <row r="31" spans="1:16" ht="13.5" customHeight="1">
      <c r="A31" s="28"/>
      <c r="B31" s="148" t="s">
        <v>616</v>
      </c>
      <c r="C31" s="149" t="s">
        <v>617</v>
      </c>
      <c r="D31" s="150" t="s">
        <v>562</v>
      </c>
      <c r="E31" s="150" t="s">
        <v>563</v>
      </c>
      <c r="F31" s="150" t="s">
        <v>564</v>
      </c>
      <c r="G31" s="158" t="s">
        <v>618</v>
      </c>
      <c r="H31" s="152">
        <v>0</v>
      </c>
      <c r="I31" s="152">
        <v>0</v>
      </c>
      <c r="J31" s="152">
        <v>0.22</v>
      </c>
      <c r="K31" s="150">
        <v>15</v>
      </c>
      <c r="L31" s="150" t="s">
        <v>565</v>
      </c>
      <c r="M31" s="153"/>
      <c r="N31" s="27"/>
    </row>
    <row r="32" spans="1:16" ht="13.5" customHeight="1">
      <c r="A32" s="28"/>
      <c r="B32" s="148" t="s">
        <v>619</v>
      </c>
      <c r="C32" s="149" t="s">
        <v>620</v>
      </c>
      <c r="D32" s="165" t="s">
        <v>613</v>
      </c>
      <c r="E32" s="165" t="s">
        <v>563</v>
      </c>
      <c r="F32" s="150" t="s">
        <v>573</v>
      </c>
      <c r="G32" s="158" t="s">
        <v>573</v>
      </c>
      <c r="H32" s="152">
        <v>0.05</v>
      </c>
      <c r="I32" s="152">
        <v>0</v>
      </c>
      <c r="J32" s="152">
        <v>0.2</v>
      </c>
      <c r="K32" s="150">
        <v>17</v>
      </c>
      <c r="L32" s="150" t="s">
        <v>565</v>
      </c>
      <c r="M32" s="153"/>
      <c r="N32" s="27" t="s">
        <v>575</v>
      </c>
    </row>
    <row r="33" spans="1:14" ht="13.5" customHeight="1">
      <c r="A33" s="28"/>
      <c r="B33" s="148" t="s">
        <v>621</v>
      </c>
      <c r="C33" s="149" t="s">
        <v>622</v>
      </c>
      <c r="D33" s="150" t="s">
        <v>613</v>
      </c>
      <c r="E33" s="150" t="s">
        <v>563</v>
      </c>
      <c r="F33" s="150" t="s">
        <v>573</v>
      </c>
      <c r="G33" s="158" t="s">
        <v>573</v>
      </c>
      <c r="H33" s="152">
        <v>0.05</v>
      </c>
      <c r="I33" s="152">
        <v>0.01</v>
      </c>
      <c r="J33" s="152">
        <v>0.2</v>
      </c>
      <c r="K33" s="150">
        <v>31</v>
      </c>
      <c r="L33" s="150" t="s">
        <v>565</v>
      </c>
      <c r="M33" s="153"/>
      <c r="N33" s="27" t="s">
        <v>575</v>
      </c>
    </row>
    <row r="34" spans="1:14" ht="13.5" customHeight="1">
      <c r="A34" s="28"/>
      <c r="B34" s="148" t="s">
        <v>623</v>
      </c>
      <c r="C34" s="149" t="s">
        <v>624</v>
      </c>
      <c r="D34" s="150" t="s">
        <v>562</v>
      </c>
      <c r="E34" s="150" t="s">
        <v>563</v>
      </c>
      <c r="F34" s="150" t="s">
        <v>564</v>
      </c>
      <c r="G34" s="166">
        <v>0</v>
      </c>
      <c r="H34" s="152">
        <v>0</v>
      </c>
      <c r="I34" s="152">
        <v>0</v>
      </c>
      <c r="J34" s="152">
        <v>0.22</v>
      </c>
      <c r="K34" s="150">
        <v>11</v>
      </c>
      <c r="L34" s="150" t="s">
        <v>565</v>
      </c>
      <c r="M34" s="153"/>
      <c r="N34" s="25"/>
    </row>
    <row r="35" spans="1:14" ht="13.5" customHeight="1">
      <c r="A35" s="28"/>
      <c r="B35" s="148" t="s">
        <v>625</v>
      </c>
      <c r="C35" s="149" t="s">
        <v>626</v>
      </c>
      <c r="D35" s="150" t="s">
        <v>613</v>
      </c>
      <c r="E35" s="150" t="s">
        <v>563</v>
      </c>
      <c r="F35" s="150" t="s">
        <v>573</v>
      </c>
      <c r="G35" s="158" t="s">
        <v>573</v>
      </c>
      <c r="H35" s="152">
        <v>0.05</v>
      </c>
      <c r="I35" s="152">
        <v>0.01</v>
      </c>
      <c r="J35" s="152">
        <v>0.19</v>
      </c>
      <c r="K35" s="150">
        <v>24</v>
      </c>
      <c r="L35" s="150" t="s">
        <v>565</v>
      </c>
      <c r="M35" s="153"/>
      <c r="N35" s="27" t="s">
        <v>575</v>
      </c>
    </row>
    <row r="36" spans="1:14" ht="13.5" customHeight="1">
      <c r="A36" s="28"/>
      <c r="B36" s="148" t="s">
        <v>627</v>
      </c>
      <c r="C36" s="149" t="s">
        <v>628</v>
      </c>
      <c r="D36" s="150" t="s">
        <v>613</v>
      </c>
      <c r="E36" s="150" t="s">
        <v>563</v>
      </c>
      <c r="F36" s="150" t="s">
        <v>573</v>
      </c>
      <c r="G36" s="158" t="s">
        <v>573</v>
      </c>
      <c r="H36" s="152">
        <v>0.05</v>
      </c>
      <c r="I36" s="152">
        <v>0.2</v>
      </c>
      <c r="J36" s="152">
        <v>0.18</v>
      </c>
      <c r="K36" s="150">
        <v>42</v>
      </c>
      <c r="L36" s="150" t="s">
        <v>565</v>
      </c>
      <c r="M36" s="153"/>
      <c r="N36" s="27" t="s">
        <v>575</v>
      </c>
    </row>
    <row r="37" spans="1:14" ht="13.5" customHeight="1">
      <c r="A37" s="167"/>
      <c r="B37" s="148" t="s">
        <v>629</v>
      </c>
      <c r="C37" s="149" t="s">
        <v>630</v>
      </c>
      <c r="D37" s="168" t="s">
        <v>613</v>
      </c>
      <c r="E37" s="150" t="s">
        <v>563</v>
      </c>
      <c r="F37" s="150" t="s">
        <v>573</v>
      </c>
      <c r="G37" s="158" t="s">
        <v>573</v>
      </c>
      <c r="H37" s="169">
        <v>0.05</v>
      </c>
      <c r="I37" s="169" t="s">
        <v>631</v>
      </c>
      <c r="J37" s="169">
        <v>0.18</v>
      </c>
      <c r="K37" s="168">
        <v>40</v>
      </c>
      <c r="L37" s="150" t="s">
        <v>565</v>
      </c>
      <c r="M37" s="170"/>
      <c r="N37" s="27" t="s">
        <v>575</v>
      </c>
    </row>
    <row r="38" spans="1:14" ht="13.5" customHeight="1">
      <c r="A38" s="167"/>
      <c r="B38" s="148" t="s">
        <v>632</v>
      </c>
      <c r="C38" s="149" t="s">
        <v>633</v>
      </c>
      <c r="D38" s="168" t="s">
        <v>562</v>
      </c>
      <c r="E38" s="150" t="s">
        <v>563</v>
      </c>
      <c r="F38" s="168" t="s">
        <v>564</v>
      </c>
      <c r="G38" s="171">
        <v>0</v>
      </c>
      <c r="H38" s="169">
        <v>0</v>
      </c>
      <c r="I38" s="169">
        <v>0</v>
      </c>
      <c r="J38" s="169">
        <v>0.19</v>
      </c>
      <c r="K38" s="168">
        <v>12</v>
      </c>
      <c r="L38" s="150" t="s">
        <v>565</v>
      </c>
      <c r="M38" s="170"/>
      <c r="N38" s="172"/>
    </row>
    <row r="39" spans="1:14" s="23" customFormat="1" ht="3.6" customHeight="1">
      <c r="A39" s="21"/>
      <c r="B39" s="145"/>
      <c r="C39" s="146"/>
      <c r="D39" s="160"/>
      <c r="E39" s="160"/>
      <c r="F39" s="160"/>
      <c r="G39" s="161"/>
      <c r="H39" s="162"/>
      <c r="I39" s="162"/>
      <c r="J39" s="162"/>
      <c r="K39" s="160"/>
      <c r="L39" s="160"/>
      <c r="M39" s="163"/>
      <c r="N39" s="29"/>
    </row>
    <row r="40" spans="1:14">
      <c r="A40" s="31" t="s">
        <v>634</v>
      </c>
      <c r="B40" s="32" t="s">
        <v>635</v>
      </c>
      <c r="C40" s="149" t="s">
        <v>636</v>
      </c>
      <c r="D40" s="150" t="s">
        <v>562</v>
      </c>
      <c r="E40" s="150" t="s">
        <v>563</v>
      </c>
      <c r="F40" s="33" t="s">
        <v>564</v>
      </c>
      <c r="G40" s="173">
        <v>100</v>
      </c>
      <c r="H40" s="34">
        <v>0.04</v>
      </c>
      <c r="I40" s="34">
        <v>0</v>
      </c>
      <c r="J40" s="34">
        <v>0.05</v>
      </c>
      <c r="K40" s="33">
        <v>12</v>
      </c>
      <c r="L40" s="150" t="s">
        <v>565</v>
      </c>
      <c r="M40" s="35"/>
      <c r="N40" s="36"/>
    </row>
    <row r="41" spans="1:14">
      <c r="A41" s="37"/>
      <c r="B41" s="38" t="s">
        <v>637</v>
      </c>
      <c r="C41" s="149" t="s">
        <v>638</v>
      </c>
      <c r="D41" s="150" t="s">
        <v>562</v>
      </c>
      <c r="E41" s="150" t="s">
        <v>563</v>
      </c>
      <c r="F41" s="39" t="s">
        <v>564</v>
      </c>
      <c r="G41" s="173">
        <v>123</v>
      </c>
      <c r="H41" s="40">
        <v>0.02</v>
      </c>
      <c r="I41" s="40">
        <v>0.06</v>
      </c>
      <c r="J41" s="40">
        <v>0.15</v>
      </c>
      <c r="K41" s="39">
        <v>14</v>
      </c>
      <c r="L41" s="150" t="s">
        <v>565</v>
      </c>
      <c r="M41" s="41"/>
      <c r="N41" s="42"/>
    </row>
    <row r="42" spans="1:14" ht="13.5" customHeight="1">
      <c r="A42" s="174"/>
      <c r="B42" s="175" t="s">
        <v>639</v>
      </c>
      <c r="C42" s="149" t="s">
        <v>640</v>
      </c>
      <c r="D42" s="150" t="s">
        <v>562</v>
      </c>
      <c r="E42" s="150" t="s">
        <v>563</v>
      </c>
      <c r="F42" s="168" t="s">
        <v>564</v>
      </c>
      <c r="G42" s="173">
        <v>71</v>
      </c>
      <c r="H42" s="169">
        <v>0</v>
      </c>
      <c r="I42" s="169">
        <v>0</v>
      </c>
      <c r="J42" s="169" t="s">
        <v>641</v>
      </c>
      <c r="K42" s="168">
        <v>10</v>
      </c>
      <c r="L42" s="150" t="s">
        <v>565</v>
      </c>
      <c r="M42" s="170"/>
      <c r="N42" s="172"/>
    </row>
    <row r="43" spans="1:14" s="23" customFormat="1" ht="3.6" customHeight="1">
      <c r="A43" s="21"/>
      <c r="B43" s="145"/>
      <c r="C43" s="146"/>
      <c r="D43" s="160"/>
      <c r="E43" s="160"/>
      <c r="F43" s="160"/>
      <c r="G43" s="160"/>
      <c r="H43" s="162"/>
      <c r="I43" s="162"/>
      <c r="J43" s="162"/>
      <c r="K43" s="160"/>
      <c r="L43" s="160"/>
      <c r="M43" s="163"/>
      <c r="N43" s="29"/>
    </row>
    <row r="44" spans="1:14">
      <c r="A44" s="31" t="s">
        <v>642</v>
      </c>
      <c r="B44" s="32" t="s">
        <v>643</v>
      </c>
      <c r="C44" s="149" t="s">
        <v>644</v>
      </c>
      <c r="D44" s="150" t="s">
        <v>562</v>
      </c>
      <c r="E44" s="150" t="s">
        <v>563</v>
      </c>
      <c r="F44" s="33" t="s">
        <v>564</v>
      </c>
      <c r="G44" s="176" t="s">
        <v>645</v>
      </c>
      <c r="H44" s="34">
        <v>0.02</v>
      </c>
      <c r="I44" s="34">
        <v>0.2</v>
      </c>
      <c r="J44" s="34">
        <v>0.21</v>
      </c>
      <c r="K44" s="33">
        <v>19</v>
      </c>
      <c r="L44" s="150" t="s">
        <v>565</v>
      </c>
      <c r="M44" s="35"/>
      <c r="N44" s="36"/>
    </row>
    <row r="45" spans="1:14" ht="13.5" customHeight="1">
      <c r="A45" s="26"/>
      <c r="B45" s="148" t="s">
        <v>646</v>
      </c>
      <c r="C45" s="149" t="s">
        <v>647</v>
      </c>
      <c r="D45" s="150" t="s">
        <v>562</v>
      </c>
      <c r="E45" s="150" t="s">
        <v>563</v>
      </c>
      <c r="F45" s="150" t="s">
        <v>564</v>
      </c>
      <c r="G45" s="43">
        <v>209</v>
      </c>
      <c r="H45" s="152">
        <v>0.39</v>
      </c>
      <c r="I45" s="152" t="s">
        <v>648</v>
      </c>
      <c r="J45" s="152" t="s">
        <v>649</v>
      </c>
      <c r="K45" s="150">
        <v>11</v>
      </c>
      <c r="L45" s="150" t="s">
        <v>565</v>
      </c>
      <c r="M45" s="153"/>
      <c r="N45" s="25"/>
    </row>
    <row r="46" spans="1:14" ht="13.5" customHeight="1">
      <c r="A46" s="28"/>
      <c r="B46" s="148" t="s">
        <v>650</v>
      </c>
      <c r="C46" s="177" t="s">
        <v>651</v>
      </c>
      <c r="D46" s="150" t="s">
        <v>562</v>
      </c>
      <c r="E46" s="150" t="s">
        <v>563</v>
      </c>
      <c r="F46" s="150" t="s">
        <v>564</v>
      </c>
      <c r="G46" s="176" t="s">
        <v>652</v>
      </c>
      <c r="H46" s="152">
        <v>0.02</v>
      </c>
      <c r="I46" s="152">
        <v>0.06</v>
      </c>
      <c r="J46" s="152">
        <v>0.19</v>
      </c>
      <c r="K46" s="150">
        <v>20</v>
      </c>
      <c r="L46" s="150" t="s">
        <v>565</v>
      </c>
      <c r="M46" s="153"/>
      <c r="N46" s="25"/>
    </row>
    <row r="47" spans="1:14" ht="13.5" customHeight="1">
      <c r="A47" s="28"/>
      <c r="B47" s="148" t="s">
        <v>653</v>
      </c>
      <c r="C47" s="177" t="s">
        <v>654</v>
      </c>
      <c r="D47" s="150" t="s">
        <v>562</v>
      </c>
      <c r="E47" s="150" t="s">
        <v>563</v>
      </c>
      <c r="F47" s="150" t="s">
        <v>564</v>
      </c>
      <c r="G47" s="173">
        <v>123</v>
      </c>
      <c r="H47" s="152">
        <v>0.02</v>
      </c>
      <c r="I47" s="152">
        <v>0.05</v>
      </c>
      <c r="J47" s="152">
        <v>0.16</v>
      </c>
      <c r="K47" s="150">
        <v>20</v>
      </c>
      <c r="L47" s="150" t="s">
        <v>565</v>
      </c>
      <c r="M47" s="153"/>
      <c r="N47" s="25"/>
    </row>
    <row r="48" spans="1:14" ht="13.5" customHeight="1">
      <c r="A48" s="167"/>
      <c r="B48" s="32" t="s">
        <v>655</v>
      </c>
      <c r="C48" s="177" t="s">
        <v>656</v>
      </c>
      <c r="D48" s="150" t="s">
        <v>562</v>
      </c>
      <c r="E48" s="150" t="s">
        <v>563</v>
      </c>
      <c r="F48" s="168" t="s">
        <v>564</v>
      </c>
      <c r="G48" s="173">
        <v>323</v>
      </c>
      <c r="H48" s="169">
        <v>0.02</v>
      </c>
      <c r="I48" s="169">
        <v>0</v>
      </c>
      <c r="J48" s="169">
        <v>0.12</v>
      </c>
      <c r="K48" s="168">
        <v>30</v>
      </c>
      <c r="L48" s="150" t="s">
        <v>565</v>
      </c>
      <c r="M48" s="170"/>
      <c r="N48" s="172"/>
    </row>
    <row r="49" spans="1:14" ht="13.5" customHeight="1">
      <c r="A49" s="167"/>
      <c r="B49" s="148" t="s">
        <v>657</v>
      </c>
      <c r="C49" s="177" t="s">
        <v>658</v>
      </c>
      <c r="D49" s="150" t="s">
        <v>562</v>
      </c>
      <c r="E49" s="150" t="s">
        <v>563</v>
      </c>
      <c r="F49" s="168" t="s">
        <v>564</v>
      </c>
      <c r="G49" s="173">
        <v>323</v>
      </c>
      <c r="H49" s="169">
        <v>0.02</v>
      </c>
      <c r="I49" s="169">
        <v>7.0000000000000007E-2</v>
      </c>
      <c r="J49" s="169">
        <v>0.19</v>
      </c>
      <c r="K49" s="168">
        <v>26</v>
      </c>
      <c r="L49" s="150" t="s">
        <v>565</v>
      </c>
      <c r="M49" s="170"/>
      <c r="N49" s="172"/>
    </row>
    <row r="50" spans="1:14" ht="13.5" customHeight="1">
      <c r="A50" s="167"/>
      <c r="B50" s="148" t="s">
        <v>659</v>
      </c>
      <c r="C50" s="177" t="s">
        <v>660</v>
      </c>
      <c r="D50" s="150" t="s">
        <v>562</v>
      </c>
      <c r="E50" s="150" t="s">
        <v>563</v>
      </c>
      <c r="F50" s="168" t="s">
        <v>564</v>
      </c>
      <c r="G50" s="44">
        <v>323</v>
      </c>
      <c r="H50" s="169">
        <v>0.02</v>
      </c>
      <c r="I50" s="169">
        <v>0.05</v>
      </c>
      <c r="J50" s="169">
        <v>0.14000000000000001</v>
      </c>
      <c r="K50" s="168">
        <v>30</v>
      </c>
      <c r="L50" s="150" t="s">
        <v>565</v>
      </c>
      <c r="M50" s="170"/>
      <c r="N50" s="172"/>
    </row>
    <row r="51" spans="1:14" s="23" customFormat="1" ht="3.6" customHeight="1">
      <c r="A51" s="21"/>
      <c r="B51" s="145"/>
      <c r="C51" s="146"/>
      <c r="D51" s="160"/>
      <c r="E51" s="160"/>
      <c r="F51" s="160"/>
      <c r="G51" s="160"/>
      <c r="H51" s="162"/>
      <c r="I51" s="162"/>
      <c r="J51" s="162"/>
      <c r="K51" s="160"/>
      <c r="L51" s="160"/>
      <c r="M51" s="163"/>
      <c r="N51" s="29"/>
    </row>
    <row r="52" spans="1:14">
      <c r="A52" s="31" t="s">
        <v>661</v>
      </c>
      <c r="B52" s="32" t="s">
        <v>662</v>
      </c>
      <c r="C52" s="45" t="s">
        <v>663</v>
      </c>
      <c r="D52" s="33" t="s">
        <v>613</v>
      </c>
      <c r="E52" s="150" t="s">
        <v>563</v>
      </c>
      <c r="F52" s="150" t="s">
        <v>573</v>
      </c>
      <c r="G52" s="150" t="s">
        <v>573</v>
      </c>
      <c r="H52" s="34">
        <v>0.05</v>
      </c>
      <c r="I52" s="34">
        <v>0.05</v>
      </c>
      <c r="J52" s="34">
        <v>0.18</v>
      </c>
      <c r="K52" s="33">
        <v>47</v>
      </c>
      <c r="L52" s="150" t="s">
        <v>565</v>
      </c>
      <c r="M52" s="35"/>
      <c r="N52" s="27" t="s">
        <v>575</v>
      </c>
    </row>
    <row r="53" spans="1:14" ht="13.5" customHeight="1">
      <c r="A53" s="26"/>
      <c r="B53" s="148" t="s">
        <v>664</v>
      </c>
      <c r="C53" s="177" t="s">
        <v>665</v>
      </c>
      <c r="D53" s="150" t="s">
        <v>613</v>
      </c>
      <c r="E53" s="150" t="s">
        <v>563</v>
      </c>
      <c r="F53" s="150" t="s">
        <v>573</v>
      </c>
      <c r="G53" s="150" t="s">
        <v>573</v>
      </c>
      <c r="H53" s="152">
        <v>0.05</v>
      </c>
      <c r="I53" s="152" t="s">
        <v>648</v>
      </c>
      <c r="J53" s="152">
        <v>0.1925</v>
      </c>
      <c r="K53" s="150">
        <v>47</v>
      </c>
      <c r="L53" s="150" t="s">
        <v>565</v>
      </c>
      <c r="M53" s="153"/>
      <c r="N53" s="27" t="s">
        <v>575</v>
      </c>
    </row>
    <row r="54" spans="1:14" ht="13.5" customHeight="1">
      <c r="A54" s="26"/>
      <c r="B54" s="32" t="s">
        <v>666</v>
      </c>
      <c r="C54" s="177" t="s">
        <v>667</v>
      </c>
      <c r="D54" s="165" t="s">
        <v>613</v>
      </c>
      <c r="E54" s="165" t="s">
        <v>563</v>
      </c>
      <c r="F54" s="150" t="s">
        <v>573</v>
      </c>
      <c r="G54" s="150" t="s">
        <v>573</v>
      </c>
      <c r="H54" s="152">
        <v>0.05</v>
      </c>
      <c r="I54" s="152"/>
      <c r="J54" s="152"/>
      <c r="K54" s="150">
        <v>47</v>
      </c>
      <c r="L54" s="150" t="s">
        <v>565</v>
      </c>
      <c r="M54" s="153"/>
      <c r="N54" s="27" t="s">
        <v>575</v>
      </c>
    </row>
    <row r="55" spans="1:14" ht="13.5" customHeight="1">
      <c r="A55" s="28"/>
      <c r="B55" s="148" t="s">
        <v>668</v>
      </c>
      <c r="C55" s="177" t="s">
        <v>669</v>
      </c>
      <c r="D55" s="150" t="s">
        <v>613</v>
      </c>
      <c r="E55" s="150" t="s">
        <v>563</v>
      </c>
      <c r="F55" s="150" t="s">
        <v>573</v>
      </c>
      <c r="G55" s="150" t="s">
        <v>573</v>
      </c>
      <c r="H55" s="152">
        <v>0.05</v>
      </c>
      <c r="I55" s="152">
        <v>0</v>
      </c>
      <c r="J55" s="152">
        <v>0.1</v>
      </c>
      <c r="K55" s="150">
        <v>47</v>
      </c>
      <c r="L55" s="150" t="s">
        <v>565</v>
      </c>
      <c r="M55" s="153"/>
      <c r="N55" s="27" t="s">
        <v>575</v>
      </c>
    </row>
    <row r="56" spans="1:14" ht="13.5" customHeight="1">
      <c r="A56" s="28"/>
      <c r="B56" s="32" t="s">
        <v>670</v>
      </c>
      <c r="C56" s="177" t="s">
        <v>671</v>
      </c>
      <c r="D56" s="150" t="s">
        <v>613</v>
      </c>
      <c r="E56" s="150" t="s">
        <v>563</v>
      </c>
      <c r="F56" s="150" t="s">
        <v>573</v>
      </c>
      <c r="G56" s="150" t="s">
        <v>573</v>
      </c>
      <c r="H56" s="152">
        <v>0.05</v>
      </c>
      <c r="I56" s="152">
        <v>0</v>
      </c>
      <c r="J56" s="152">
        <v>0.18</v>
      </c>
      <c r="K56" s="150">
        <v>28</v>
      </c>
      <c r="L56" s="150" t="s">
        <v>565</v>
      </c>
      <c r="M56" s="153"/>
      <c r="N56" s="27" t="s">
        <v>575</v>
      </c>
    </row>
    <row r="57" spans="1:14" ht="13.5" customHeight="1">
      <c r="A57" s="28"/>
      <c r="B57" s="148" t="s">
        <v>672</v>
      </c>
      <c r="C57" s="177" t="s">
        <v>673</v>
      </c>
      <c r="D57" s="150" t="s">
        <v>613</v>
      </c>
      <c r="E57" s="150" t="s">
        <v>563</v>
      </c>
      <c r="F57" s="150" t="s">
        <v>573</v>
      </c>
      <c r="G57" s="150" t="s">
        <v>573</v>
      </c>
      <c r="H57" s="152">
        <v>0.05</v>
      </c>
      <c r="I57" s="152" t="s">
        <v>648</v>
      </c>
      <c r="J57" s="152">
        <v>0.2</v>
      </c>
      <c r="K57" s="150">
        <v>47</v>
      </c>
      <c r="L57" s="150" t="s">
        <v>565</v>
      </c>
      <c r="M57" s="153"/>
      <c r="N57" s="27" t="s">
        <v>575</v>
      </c>
    </row>
    <row r="58" spans="1:14" ht="13.5" customHeight="1">
      <c r="A58" s="28"/>
      <c r="B58" s="32" t="s">
        <v>674</v>
      </c>
      <c r="C58" s="177" t="s">
        <v>675</v>
      </c>
      <c r="D58" s="150" t="s">
        <v>613</v>
      </c>
      <c r="E58" s="150" t="s">
        <v>563</v>
      </c>
      <c r="F58" s="150" t="s">
        <v>573</v>
      </c>
      <c r="G58" s="150" t="s">
        <v>573</v>
      </c>
      <c r="H58" s="152">
        <v>0.05</v>
      </c>
      <c r="I58" s="152">
        <v>0.03</v>
      </c>
      <c r="J58" s="152">
        <v>0.16</v>
      </c>
      <c r="K58" s="150">
        <v>47</v>
      </c>
      <c r="L58" s="150" t="s">
        <v>565</v>
      </c>
      <c r="M58" s="153"/>
      <c r="N58" s="27" t="s">
        <v>575</v>
      </c>
    </row>
    <row r="59" spans="1:14" ht="13.5" customHeight="1">
      <c r="A59" s="28"/>
      <c r="B59" s="148" t="s">
        <v>676</v>
      </c>
      <c r="C59" s="177" t="s">
        <v>677</v>
      </c>
      <c r="D59" s="150" t="s">
        <v>613</v>
      </c>
      <c r="E59" s="150" t="s">
        <v>563</v>
      </c>
      <c r="F59" s="150" t="s">
        <v>573</v>
      </c>
      <c r="G59" s="150" t="s">
        <v>573</v>
      </c>
      <c r="H59" s="152">
        <v>0.05</v>
      </c>
      <c r="I59" s="152">
        <v>0.06</v>
      </c>
      <c r="J59" s="152">
        <v>0.25</v>
      </c>
      <c r="K59" s="150">
        <v>35</v>
      </c>
      <c r="L59" s="150" t="s">
        <v>565</v>
      </c>
      <c r="M59" s="153"/>
      <c r="N59" s="27" t="s">
        <v>575</v>
      </c>
    </row>
    <row r="60" spans="1:14" ht="13.5" customHeight="1">
      <c r="A60" s="28"/>
      <c r="B60" s="32" t="s">
        <v>678</v>
      </c>
      <c r="C60" s="177" t="s">
        <v>679</v>
      </c>
      <c r="D60" s="150" t="s">
        <v>613</v>
      </c>
      <c r="E60" s="150" t="s">
        <v>563</v>
      </c>
      <c r="F60" s="150" t="s">
        <v>573</v>
      </c>
      <c r="G60" s="150" t="s">
        <v>573</v>
      </c>
      <c r="H60" s="152">
        <v>0.05</v>
      </c>
      <c r="I60" s="152">
        <v>0</v>
      </c>
      <c r="J60" s="152">
        <v>0.1</v>
      </c>
      <c r="K60" s="150">
        <v>35</v>
      </c>
      <c r="L60" s="150" t="s">
        <v>565</v>
      </c>
      <c r="M60" s="153"/>
      <c r="N60" s="27" t="s">
        <v>575</v>
      </c>
    </row>
    <row r="61" spans="1:14" ht="13.5" customHeight="1">
      <c r="A61" s="28"/>
      <c r="B61" s="148" t="s">
        <v>680</v>
      </c>
      <c r="C61" s="177" t="s">
        <v>681</v>
      </c>
      <c r="D61" s="150" t="s">
        <v>613</v>
      </c>
      <c r="E61" s="150" t="s">
        <v>563</v>
      </c>
      <c r="F61" s="150" t="s">
        <v>573</v>
      </c>
      <c r="G61" s="150" t="s">
        <v>573</v>
      </c>
      <c r="H61" s="152">
        <v>0.05</v>
      </c>
      <c r="I61" s="152">
        <v>0.06</v>
      </c>
      <c r="J61" s="152" t="s">
        <v>682</v>
      </c>
      <c r="K61" s="150">
        <v>47</v>
      </c>
      <c r="L61" s="150" t="s">
        <v>565</v>
      </c>
      <c r="M61" s="153"/>
      <c r="N61" s="27" t="s">
        <v>575</v>
      </c>
    </row>
    <row r="62" spans="1:14" ht="13.5" customHeight="1">
      <c r="A62" s="28"/>
      <c r="B62" s="32" t="s">
        <v>683</v>
      </c>
      <c r="C62" s="177" t="s">
        <v>684</v>
      </c>
      <c r="D62" s="150" t="s">
        <v>613</v>
      </c>
      <c r="E62" s="150" t="s">
        <v>563</v>
      </c>
      <c r="F62" s="150" t="s">
        <v>573</v>
      </c>
      <c r="G62" s="150" t="s">
        <v>573</v>
      </c>
      <c r="H62" s="152">
        <v>0.05</v>
      </c>
      <c r="I62" s="152">
        <v>0.08</v>
      </c>
      <c r="J62" s="152">
        <v>0.2</v>
      </c>
      <c r="K62" s="150">
        <v>42</v>
      </c>
      <c r="L62" s="150" t="s">
        <v>565</v>
      </c>
      <c r="M62" s="153"/>
      <c r="N62" s="27" t="s">
        <v>575</v>
      </c>
    </row>
    <row r="63" spans="1:14" ht="13.5" customHeight="1">
      <c r="A63" s="28"/>
      <c r="B63" s="148" t="s">
        <v>685</v>
      </c>
      <c r="C63" s="177" t="s">
        <v>686</v>
      </c>
      <c r="D63" s="150" t="s">
        <v>613</v>
      </c>
      <c r="E63" s="150" t="s">
        <v>563</v>
      </c>
      <c r="F63" s="150" t="s">
        <v>573</v>
      </c>
      <c r="G63" s="150" t="s">
        <v>573</v>
      </c>
      <c r="H63" s="152">
        <v>0.05</v>
      </c>
      <c r="I63" s="152">
        <v>0.12</v>
      </c>
      <c r="J63" s="152">
        <v>0.05</v>
      </c>
      <c r="K63" s="150">
        <v>67</v>
      </c>
      <c r="L63" s="150" t="s">
        <v>565</v>
      </c>
      <c r="M63" s="153"/>
      <c r="N63" s="27" t="s">
        <v>575</v>
      </c>
    </row>
    <row r="64" spans="1:14" ht="13.5" customHeight="1">
      <c r="A64" s="28"/>
      <c r="B64" s="32" t="s">
        <v>687</v>
      </c>
      <c r="C64" s="177" t="s">
        <v>688</v>
      </c>
      <c r="D64" s="150" t="s">
        <v>613</v>
      </c>
      <c r="E64" s="150" t="s">
        <v>563</v>
      </c>
      <c r="F64" s="150" t="s">
        <v>573</v>
      </c>
      <c r="G64" s="150" t="s">
        <v>573</v>
      </c>
      <c r="H64" s="152">
        <v>0.05</v>
      </c>
      <c r="I64" s="152">
        <v>7.0000000000000007E-2</v>
      </c>
      <c r="J64" s="152">
        <v>0</v>
      </c>
      <c r="K64" s="150">
        <v>40</v>
      </c>
      <c r="L64" s="150" t="s">
        <v>565</v>
      </c>
      <c r="M64" s="153"/>
      <c r="N64" s="27" t="s">
        <v>575</v>
      </c>
    </row>
    <row r="65" spans="1:14" ht="13.5" customHeight="1">
      <c r="A65" s="28"/>
      <c r="B65" s="148" t="s">
        <v>689</v>
      </c>
      <c r="C65" s="177" t="s">
        <v>690</v>
      </c>
      <c r="D65" s="150" t="s">
        <v>613</v>
      </c>
      <c r="E65" s="150" t="s">
        <v>563</v>
      </c>
      <c r="F65" s="150" t="s">
        <v>573</v>
      </c>
      <c r="G65" s="158" t="s">
        <v>573</v>
      </c>
      <c r="H65" s="152">
        <v>0.05</v>
      </c>
      <c r="I65" s="152">
        <v>0.155</v>
      </c>
      <c r="J65" s="152">
        <v>0.2</v>
      </c>
      <c r="K65" s="150">
        <v>47</v>
      </c>
      <c r="L65" s="150" t="s">
        <v>565</v>
      </c>
      <c r="M65" s="153"/>
      <c r="N65" s="27" t="s">
        <v>575</v>
      </c>
    </row>
    <row r="66" spans="1:14" ht="13.5" customHeight="1">
      <c r="A66" s="167"/>
      <c r="B66" s="32" t="s">
        <v>691</v>
      </c>
      <c r="C66" s="177" t="s">
        <v>692</v>
      </c>
      <c r="D66" s="168" t="s">
        <v>562</v>
      </c>
      <c r="E66" s="150" t="s">
        <v>563</v>
      </c>
      <c r="F66" s="168" t="s">
        <v>564</v>
      </c>
      <c r="G66" s="178" t="s">
        <v>693</v>
      </c>
      <c r="H66" s="169">
        <v>0</v>
      </c>
      <c r="I66" s="169">
        <v>0</v>
      </c>
      <c r="J66" s="169">
        <v>0.14000000000000001</v>
      </c>
      <c r="K66" s="168">
        <v>23</v>
      </c>
      <c r="L66" s="150" t="s">
        <v>565</v>
      </c>
      <c r="M66" s="170"/>
      <c r="N66" s="27"/>
    </row>
    <row r="67" spans="1:14" ht="13.5" customHeight="1">
      <c r="A67" s="167"/>
      <c r="B67" s="148" t="s">
        <v>694</v>
      </c>
      <c r="C67" s="177" t="s">
        <v>695</v>
      </c>
      <c r="D67" s="168" t="s">
        <v>613</v>
      </c>
      <c r="E67" s="150" t="s">
        <v>563</v>
      </c>
      <c r="F67" s="150" t="s">
        <v>573</v>
      </c>
      <c r="G67" s="158" t="s">
        <v>573</v>
      </c>
      <c r="H67" s="169">
        <v>0.05</v>
      </c>
      <c r="I67" s="169">
        <v>0</v>
      </c>
      <c r="J67" s="169">
        <v>0.1</v>
      </c>
      <c r="K67" s="168">
        <v>42</v>
      </c>
      <c r="L67" s="150" t="s">
        <v>565</v>
      </c>
      <c r="M67" s="170"/>
      <c r="N67" s="27" t="s">
        <v>575</v>
      </c>
    </row>
    <row r="68" spans="1:14" ht="13.5" customHeight="1">
      <c r="A68" s="167"/>
      <c r="B68" s="32" t="s">
        <v>696</v>
      </c>
      <c r="C68" s="149" t="s">
        <v>697</v>
      </c>
      <c r="D68" s="168" t="s">
        <v>613</v>
      </c>
      <c r="E68" s="150" t="s">
        <v>563</v>
      </c>
      <c r="F68" s="150" t="s">
        <v>573</v>
      </c>
      <c r="G68" s="158" t="s">
        <v>573</v>
      </c>
      <c r="H68" s="169">
        <v>0.05</v>
      </c>
      <c r="I68" s="169">
        <v>0.06</v>
      </c>
      <c r="J68" s="169">
        <v>0</v>
      </c>
      <c r="K68" s="168">
        <v>33</v>
      </c>
      <c r="L68" s="150" t="s">
        <v>565</v>
      </c>
      <c r="M68" s="170"/>
      <c r="N68" s="27" t="s">
        <v>575</v>
      </c>
    </row>
    <row r="69" spans="1:14" s="23" customFormat="1" ht="3.6" customHeight="1">
      <c r="A69" s="21"/>
      <c r="B69" s="145"/>
      <c r="C69" s="146"/>
      <c r="D69" s="160"/>
      <c r="E69" s="160"/>
      <c r="F69" s="160"/>
      <c r="G69" s="161"/>
      <c r="H69" s="162"/>
      <c r="I69" s="162"/>
      <c r="J69" s="162"/>
      <c r="K69" s="160"/>
      <c r="L69" s="160"/>
      <c r="M69" s="163"/>
      <c r="N69" s="29"/>
    </row>
    <row r="70" spans="1:14" ht="13.5" customHeight="1">
      <c r="A70" s="31" t="s">
        <v>698</v>
      </c>
      <c r="B70" s="32" t="s">
        <v>699</v>
      </c>
      <c r="C70" s="45" t="s">
        <v>700</v>
      </c>
      <c r="D70" s="33" t="s">
        <v>613</v>
      </c>
      <c r="E70" s="150" t="s">
        <v>563</v>
      </c>
      <c r="F70" s="150" t="s">
        <v>573</v>
      </c>
      <c r="G70" s="158" t="s">
        <v>573</v>
      </c>
      <c r="H70" s="34">
        <v>0.05</v>
      </c>
      <c r="I70" s="34" t="s">
        <v>682</v>
      </c>
      <c r="J70" s="34" t="s">
        <v>682</v>
      </c>
      <c r="K70" s="33" t="s">
        <v>682</v>
      </c>
      <c r="L70" s="150" t="s">
        <v>565</v>
      </c>
      <c r="M70" s="35"/>
      <c r="N70" s="27" t="s">
        <v>575</v>
      </c>
    </row>
    <row r="71" spans="1:14" ht="13.5" customHeight="1">
      <c r="A71" s="31"/>
      <c r="B71" s="32" t="s">
        <v>701</v>
      </c>
      <c r="C71" s="177" t="s">
        <v>702</v>
      </c>
      <c r="D71" s="33" t="s">
        <v>613</v>
      </c>
      <c r="E71" s="150" t="s">
        <v>563</v>
      </c>
      <c r="F71" s="150" t="s">
        <v>573</v>
      </c>
      <c r="G71" s="158" t="s">
        <v>573</v>
      </c>
      <c r="H71" s="34">
        <v>0.05</v>
      </c>
      <c r="I71" s="34">
        <v>0.04</v>
      </c>
      <c r="J71" s="34">
        <v>0.18</v>
      </c>
      <c r="K71" s="33">
        <v>35</v>
      </c>
      <c r="L71" s="150" t="s">
        <v>565</v>
      </c>
      <c r="M71" s="35"/>
      <c r="N71" s="27" t="s">
        <v>575</v>
      </c>
    </row>
    <row r="72" spans="1:14" ht="13.5" customHeight="1">
      <c r="A72" s="31"/>
      <c r="B72" s="32" t="s">
        <v>703</v>
      </c>
      <c r="C72" s="177" t="s">
        <v>704</v>
      </c>
      <c r="D72" s="33" t="s">
        <v>562</v>
      </c>
      <c r="E72" s="150" t="s">
        <v>563</v>
      </c>
      <c r="F72" s="33" t="s">
        <v>564</v>
      </c>
      <c r="G72" s="179">
        <v>185</v>
      </c>
      <c r="H72" s="34">
        <v>0.05</v>
      </c>
      <c r="I72" s="34">
        <v>0</v>
      </c>
      <c r="J72" s="34">
        <v>0.1</v>
      </c>
      <c r="K72" s="33">
        <v>18</v>
      </c>
      <c r="L72" s="150" t="s">
        <v>565</v>
      </c>
      <c r="M72" s="35"/>
      <c r="N72" s="36"/>
    </row>
    <row r="73" spans="1:14" ht="13.5" customHeight="1">
      <c r="A73" s="31"/>
      <c r="B73" s="32" t="s">
        <v>705</v>
      </c>
      <c r="C73" s="177" t="s">
        <v>706</v>
      </c>
      <c r="D73" s="33" t="s">
        <v>613</v>
      </c>
      <c r="E73" s="150" t="s">
        <v>563</v>
      </c>
      <c r="F73" s="150" t="s">
        <v>573</v>
      </c>
      <c r="G73" s="179">
        <v>110</v>
      </c>
      <c r="H73" s="34">
        <v>0.1235</v>
      </c>
      <c r="I73" s="34">
        <v>0.15</v>
      </c>
      <c r="J73" s="34">
        <v>0.15</v>
      </c>
      <c r="K73" s="33">
        <v>24</v>
      </c>
      <c r="L73" s="150" t="s">
        <v>565</v>
      </c>
      <c r="M73" s="46"/>
      <c r="N73" s="47" t="s">
        <v>707</v>
      </c>
    </row>
    <row r="74" spans="1:14" ht="13.5" customHeight="1">
      <c r="A74" s="31"/>
      <c r="B74" s="32" t="s">
        <v>708</v>
      </c>
      <c r="C74" s="177" t="s">
        <v>709</v>
      </c>
      <c r="D74" s="33" t="s">
        <v>562</v>
      </c>
      <c r="E74" s="150" t="s">
        <v>563</v>
      </c>
      <c r="F74" s="33" t="s">
        <v>564</v>
      </c>
      <c r="G74" s="179">
        <v>35</v>
      </c>
      <c r="H74" s="34">
        <v>0.05</v>
      </c>
      <c r="I74" s="34">
        <v>0</v>
      </c>
      <c r="J74" s="34">
        <v>0.17</v>
      </c>
      <c r="K74" s="33">
        <v>11</v>
      </c>
      <c r="L74" s="150" t="s">
        <v>565</v>
      </c>
      <c r="M74" s="35"/>
      <c r="N74" s="36"/>
    </row>
    <row r="75" spans="1:14" ht="13.5" customHeight="1">
      <c r="A75" s="31"/>
      <c r="B75" s="32" t="s">
        <v>710</v>
      </c>
      <c r="C75" s="177" t="s">
        <v>711</v>
      </c>
      <c r="D75" s="33" t="s">
        <v>562</v>
      </c>
      <c r="E75" s="150" t="s">
        <v>563</v>
      </c>
      <c r="F75" s="33" t="s">
        <v>564</v>
      </c>
      <c r="G75" s="179">
        <v>35</v>
      </c>
      <c r="H75" s="34">
        <v>0.05</v>
      </c>
      <c r="I75" s="34">
        <v>0</v>
      </c>
      <c r="J75" s="34">
        <v>0</v>
      </c>
      <c r="K75" s="33">
        <v>11</v>
      </c>
      <c r="L75" s="150" t="s">
        <v>565</v>
      </c>
      <c r="M75" s="35"/>
      <c r="N75" s="36"/>
    </row>
    <row r="76" spans="1:14" ht="13.5" customHeight="1">
      <c r="A76" s="26"/>
      <c r="B76" s="32" t="s">
        <v>712</v>
      </c>
      <c r="C76" s="177" t="s">
        <v>713</v>
      </c>
      <c r="D76" s="150" t="s">
        <v>562</v>
      </c>
      <c r="E76" s="150" t="s">
        <v>563</v>
      </c>
      <c r="F76" s="150" t="s">
        <v>564</v>
      </c>
      <c r="G76" s="179">
        <v>150</v>
      </c>
      <c r="H76" s="152" t="s">
        <v>648</v>
      </c>
      <c r="I76" s="152" t="s">
        <v>682</v>
      </c>
      <c r="J76" s="152" t="s">
        <v>649</v>
      </c>
      <c r="K76" s="150">
        <v>25</v>
      </c>
      <c r="L76" s="150" t="s">
        <v>565</v>
      </c>
      <c r="M76" s="153"/>
      <c r="N76" s="25"/>
    </row>
    <row r="77" spans="1:14" ht="13.5" customHeight="1">
      <c r="A77" s="28"/>
      <c r="B77" s="32" t="s">
        <v>714</v>
      </c>
      <c r="C77" s="177" t="s">
        <v>715</v>
      </c>
      <c r="D77" s="150" t="s">
        <v>613</v>
      </c>
      <c r="E77" s="150" t="s">
        <v>563</v>
      </c>
      <c r="F77" s="150" t="s">
        <v>573</v>
      </c>
      <c r="G77" s="179">
        <v>278</v>
      </c>
      <c r="H77" s="152">
        <v>0.10249999999999999</v>
      </c>
      <c r="I77" s="152">
        <v>0</v>
      </c>
      <c r="J77" s="152">
        <v>0.1</v>
      </c>
      <c r="K77" s="150">
        <v>23</v>
      </c>
      <c r="L77" s="150" t="s">
        <v>565</v>
      </c>
      <c r="M77" s="153"/>
      <c r="N77" s="47" t="s">
        <v>707</v>
      </c>
    </row>
    <row r="78" spans="1:14" ht="13.5" customHeight="1">
      <c r="A78" s="28"/>
      <c r="B78" s="32" t="s">
        <v>716</v>
      </c>
      <c r="C78" s="177" t="s">
        <v>717</v>
      </c>
      <c r="D78" s="150" t="s">
        <v>562</v>
      </c>
      <c r="E78" s="150" t="s">
        <v>563</v>
      </c>
      <c r="F78" s="150" t="s">
        <v>564</v>
      </c>
      <c r="G78" s="179">
        <v>162.33384307728502</v>
      </c>
      <c r="H78" s="152">
        <v>0</v>
      </c>
      <c r="I78" s="152">
        <v>9.0999999999999998E-2</v>
      </c>
      <c r="J78" s="152">
        <v>0.05</v>
      </c>
      <c r="K78" s="150">
        <v>14</v>
      </c>
      <c r="L78" s="150" t="s">
        <v>565</v>
      </c>
      <c r="M78" s="153"/>
      <c r="N78" s="25"/>
    </row>
    <row r="79" spans="1:14" ht="13.5" customHeight="1">
      <c r="A79" s="28"/>
      <c r="B79" s="32" t="s">
        <v>718</v>
      </c>
      <c r="C79" s="177" t="s">
        <v>719</v>
      </c>
      <c r="D79" s="150" t="s">
        <v>613</v>
      </c>
      <c r="E79" s="150" t="s">
        <v>563</v>
      </c>
      <c r="F79" s="150" t="s">
        <v>573</v>
      </c>
      <c r="G79" s="158" t="s">
        <v>573</v>
      </c>
      <c r="H79" s="152">
        <v>0.05</v>
      </c>
      <c r="I79" s="152">
        <v>0.11</v>
      </c>
      <c r="J79" s="152">
        <v>0.15</v>
      </c>
      <c r="K79" s="150">
        <v>47</v>
      </c>
      <c r="L79" s="150" t="s">
        <v>565</v>
      </c>
      <c r="M79" s="153"/>
      <c r="N79" s="47" t="s">
        <v>707</v>
      </c>
    </row>
    <row r="80" spans="1:14" ht="13.5" customHeight="1">
      <c r="A80" s="28"/>
      <c r="B80" s="32" t="s">
        <v>720</v>
      </c>
      <c r="C80" s="177" t="s">
        <v>721</v>
      </c>
      <c r="D80" s="150" t="s">
        <v>613</v>
      </c>
      <c r="E80" s="150" t="s">
        <v>563</v>
      </c>
      <c r="F80" s="150" t="s">
        <v>573</v>
      </c>
      <c r="G80" s="179">
        <v>110</v>
      </c>
      <c r="H80" s="152">
        <v>0.1235</v>
      </c>
      <c r="I80" s="152">
        <v>0.1</v>
      </c>
      <c r="J80" s="152">
        <v>0.15</v>
      </c>
      <c r="K80" s="150">
        <v>20</v>
      </c>
      <c r="L80" s="150" t="s">
        <v>565</v>
      </c>
      <c r="M80" s="153"/>
      <c r="N80" s="47" t="s">
        <v>707</v>
      </c>
    </row>
    <row r="81" spans="1:14" ht="13.5" customHeight="1">
      <c r="A81" s="28"/>
      <c r="B81" s="32" t="s">
        <v>722</v>
      </c>
      <c r="C81" s="177" t="s">
        <v>723</v>
      </c>
      <c r="D81" s="150" t="s">
        <v>562</v>
      </c>
      <c r="E81" s="150" t="s">
        <v>563</v>
      </c>
      <c r="F81" s="150" t="s">
        <v>564</v>
      </c>
      <c r="G81" s="179">
        <v>70</v>
      </c>
      <c r="H81" s="152">
        <v>0.05</v>
      </c>
      <c r="I81" s="152">
        <v>0</v>
      </c>
      <c r="J81" s="152">
        <v>0</v>
      </c>
      <c r="K81" s="150">
        <v>12</v>
      </c>
      <c r="L81" s="150" t="s">
        <v>565</v>
      </c>
      <c r="M81" s="153"/>
      <c r="N81" s="25"/>
    </row>
    <row r="82" spans="1:14" ht="13.5" customHeight="1">
      <c r="A82" s="28"/>
      <c r="B82" s="32" t="s">
        <v>724</v>
      </c>
      <c r="C82" s="177" t="s">
        <v>725</v>
      </c>
      <c r="D82" s="150" t="s">
        <v>562</v>
      </c>
      <c r="E82" s="150" t="s">
        <v>563</v>
      </c>
      <c r="F82" s="150" t="s">
        <v>564</v>
      </c>
      <c r="G82" s="179">
        <v>185</v>
      </c>
      <c r="H82" s="152">
        <v>0.05</v>
      </c>
      <c r="I82" s="152">
        <v>0</v>
      </c>
      <c r="J82" s="152">
        <v>0.15</v>
      </c>
      <c r="K82" s="150">
        <v>17</v>
      </c>
      <c r="L82" s="150" t="s">
        <v>565</v>
      </c>
      <c r="M82" s="153"/>
      <c r="N82" s="25"/>
    </row>
    <row r="83" spans="1:14" ht="13.5" customHeight="1">
      <c r="A83" s="28"/>
      <c r="B83" s="32" t="s">
        <v>726</v>
      </c>
      <c r="C83" s="177" t="s">
        <v>727</v>
      </c>
      <c r="D83" s="150" t="s">
        <v>613</v>
      </c>
      <c r="E83" s="150" t="s">
        <v>563</v>
      </c>
      <c r="F83" s="150" t="s">
        <v>573</v>
      </c>
      <c r="G83" s="179">
        <v>88</v>
      </c>
      <c r="H83" s="152">
        <v>0.1235</v>
      </c>
      <c r="I83" s="152">
        <v>0.05</v>
      </c>
      <c r="J83" s="152">
        <v>0.15</v>
      </c>
      <c r="K83" s="150">
        <v>20</v>
      </c>
      <c r="L83" s="150" t="s">
        <v>565</v>
      </c>
      <c r="M83" s="153"/>
      <c r="N83" s="47" t="s">
        <v>707</v>
      </c>
    </row>
    <row r="84" spans="1:14" ht="13.5" customHeight="1">
      <c r="A84" s="28"/>
      <c r="B84" s="32" t="s">
        <v>728</v>
      </c>
      <c r="C84" s="177" t="s">
        <v>729</v>
      </c>
      <c r="D84" s="150" t="s">
        <v>613</v>
      </c>
      <c r="E84" s="150" t="s">
        <v>563</v>
      </c>
      <c r="F84" s="150" t="s">
        <v>573</v>
      </c>
      <c r="G84" s="158" t="s">
        <v>573</v>
      </c>
      <c r="H84" s="152">
        <v>0.1235</v>
      </c>
      <c r="I84" s="152">
        <v>0</v>
      </c>
      <c r="J84" s="152">
        <v>0.12</v>
      </c>
      <c r="K84" s="150">
        <v>23</v>
      </c>
      <c r="L84" s="150" t="s">
        <v>565</v>
      </c>
      <c r="M84" s="153"/>
      <c r="N84" s="47" t="s">
        <v>707</v>
      </c>
    </row>
    <row r="85" spans="1:14" ht="13.5" customHeight="1">
      <c r="A85" s="28"/>
      <c r="B85" s="32" t="s">
        <v>730</v>
      </c>
      <c r="C85" s="177" t="s">
        <v>731</v>
      </c>
      <c r="D85" s="150" t="s">
        <v>562</v>
      </c>
      <c r="E85" s="150" t="s">
        <v>563</v>
      </c>
      <c r="F85" s="150" t="s">
        <v>564</v>
      </c>
      <c r="G85" s="179">
        <v>60</v>
      </c>
      <c r="H85" s="152">
        <v>0.05</v>
      </c>
      <c r="I85" s="152">
        <v>0</v>
      </c>
      <c r="J85" s="152">
        <v>7.0000000000000007E-2</v>
      </c>
      <c r="K85" s="150">
        <v>11</v>
      </c>
      <c r="L85" s="150" t="s">
        <v>565</v>
      </c>
      <c r="M85" s="153"/>
      <c r="N85" s="25"/>
    </row>
    <row r="86" spans="1:14" ht="13.5" customHeight="1">
      <c r="A86" s="28"/>
      <c r="B86" s="32" t="s">
        <v>732</v>
      </c>
      <c r="C86" s="177" t="s">
        <v>733</v>
      </c>
      <c r="D86" s="150" t="s">
        <v>562</v>
      </c>
      <c r="E86" s="150" t="s">
        <v>563</v>
      </c>
      <c r="F86" s="150" t="s">
        <v>564</v>
      </c>
      <c r="G86" s="179">
        <v>80</v>
      </c>
      <c r="H86" s="152">
        <v>0.05</v>
      </c>
      <c r="I86" s="152">
        <v>0</v>
      </c>
      <c r="J86" s="152">
        <v>0.1</v>
      </c>
      <c r="K86" s="150">
        <v>17</v>
      </c>
      <c r="L86" s="150" t="s">
        <v>565</v>
      </c>
      <c r="M86" s="153"/>
      <c r="N86" s="25"/>
    </row>
    <row r="87" spans="1:14" ht="13.5" customHeight="1">
      <c r="A87" s="28"/>
      <c r="B87" s="32" t="s">
        <v>734</v>
      </c>
      <c r="C87" s="177" t="s">
        <v>735</v>
      </c>
      <c r="D87" s="150" t="s">
        <v>562</v>
      </c>
      <c r="E87" s="150" t="s">
        <v>563</v>
      </c>
      <c r="F87" s="150" t="s">
        <v>564</v>
      </c>
      <c r="G87" s="179">
        <v>70</v>
      </c>
      <c r="H87" s="152">
        <v>0.05</v>
      </c>
      <c r="I87" s="152">
        <v>0.02</v>
      </c>
      <c r="J87" s="152">
        <v>0.05</v>
      </c>
      <c r="K87" s="150">
        <v>17</v>
      </c>
      <c r="L87" s="150" t="s">
        <v>565</v>
      </c>
      <c r="M87" s="153"/>
      <c r="N87" s="25"/>
    </row>
    <row r="88" spans="1:14" ht="13.5" customHeight="1">
      <c r="A88" s="28"/>
      <c r="B88" s="32" t="s">
        <v>736</v>
      </c>
      <c r="C88" s="177" t="s">
        <v>737</v>
      </c>
      <c r="D88" s="150" t="s">
        <v>562</v>
      </c>
      <c r="E88" s="150" t="s">
        <v>563</v>
      </c>
      <c r="F88" s="150" t="s">
        <v>564</v>
      </c>
      <c r="G88" s="179">
        <v>70</v>
      </c>
      <c r="H88" s="152">
        <v>0.05</v>
      </c>
      <c r="I88" s="152">
        <v>0</v>
      </c>
      <c r="J88" s="152">
        <v>7.0000000000000007E-2</v>
      </c>
      <c r="K88" s="150">
        <v>17</v>
      </c>
      <c r="L88" s="150" t="s">
        <v>565</v>
      </c>
      <c r="M88" s="153"/>
      <c r="N88" s="25"/>
    </row>
    <row r="89" spans="1:14" ht="13.5" customHeight="1" thickBot="1">
      <c r="A89" s="48"/>
      <c r="B89" s="32" t="s">
        <v>738</v>
      </c>
      <c r="C89" s="177" t="s">
        <v>739</v>
      </c>
      <c r="D89" s="49" t="s">
        <v>613</v>
      </c>
      <c r="E89" s="49" t="s">
        <v>563</v>
      </c>
      <c r="F89" s="49" t="s">
        <v>573</v>
      </c>
      <c r="G89" s="49" t="s">
        <v>573</v>
      </c>
      <c r="H89" s="50">
        <v>0.1235</v>
      </c>
      <c r="I89" s="50">
        <v>0.05</v>
      </c>
      <c r="J89" s="50">
        <v>0.1</v>
      </c>
      <c r="K89" s="49">
        <v>25</v>
      </c>
      <c r="L89" s="49" t="s">
        <v>565</v>
      </c>
      <c r="M89" s="51"/>
      <c r="N89" s="47" t="s">
        <v>707</v>
      </c>
    </row>
    <row r="90" spans="1:14" ht="13.5" hidden="1" customHeight="1">
      <c r="A90" s="52"/>
    </row>
    <row r="91" spans="1:14" ht="13.5" hidden="1" customHeight="1">
      <c r="A91" s="52"/>
    </row>
  </sheetData>
  <sheetProtection password="F587" sheet="1" formatCells="0" formatColumns="0" formatRows="0" sort="0" autoFilter="0"/>
  <mergeCells count="3">
    <mergeCell ref="A1:N1"/>
    <mergeCell ref="A3:A4"/>
    <mergeCell ref="C3:C4"/>
  </mergeCells>
  <hyperlinks>
    <hyperlink ref="N10" r:id="rId1" xr:uid="{00000000-0004-0000-0100-000000000000}"/>
    <hyperlink ref="N25" r:id="rId2" xr:uid="{00000000-0004-0000-0100-000001000000}"/>
    <hyperlink ref="N35:N37" r:id="rId3" display="Distributor List EMEA" xr:uid="{00000000-0004-0000-0100-000003000000}"/>
    <hyperlink ref="N73" r:id="rId4" xr:uid="{00000000-0004-0000-0100-000004000000}"/>
    <hyperlink ref="N77" r:id="rId5" xr:uid="{00000000-0004-0000-0100-000005000000}"/>
    <hyperlink ref="N79:N80" r:id="rId6" display="Distributor List APAC" xr:uid="{00000000-0004-0000-0100-000006000000}"/>
    <hyperlink ref="N83:N84" r:id="rId7" display="Distributor List APAC" xr:uid="{00000000-0004-0000-0100-000007000000}"/>
    <hyperlink ref="N89" r:id="rId8" xr:uid="{00000000-0004-0000-0100-000008000000}"/>
  </hyperlinks>
  <pageMargins left="0.78740157480314965" right="0.78740157480314965" top="0.98425196850393704" bottom="0.98425196850393704" header="0.51181102362204722" footer="0.51181102362204722"/>
  <pageSetup paperSize="9" scale="50" orientation="landscape" horizontalDpi="300" r:id="rId9"/>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ivelinkParentID xmlns="27d5bfe4-f75b-4ba4-8d19-0422da9885b2" xsi:nil="true"/>
    <LivelinkDescription xmlns="27d5bfe4-f75b-4ba4-8d19-0422da9885b2" xsi:nil="true"/>
    <LivelinkOwner xmlns="27d5bfe4-f75b-4ba4-8d19-0422da9885b2" xsi:nil="true"/>
    <LivelinkOriginalName xmlns="27d5bfe4-f75b-4ba4-8d19-0422da9885b2" xsi:nil="true"/>
    <LivelinkCreator xmlns="27d5bfe4-f75b-4ba4-8d19-0422da9885b2" xsi:nil="true"/>
    <LivelinkObjectID xmlns="27d5bfe4-f75b-4ba4-8d19-0422da9885b2" xsi:nil="true"/>
    <LockedVersions xmlns="c4f0213f-0adf-452d-a3ab-d444186760d8" xsi:nil="true"/>
    <LivelinkModifier xmlns="27d5bfe4-f75b-4ba4-8d19-0422da9885b2" xsi:nil="true"/>
    <AdvancedVersioningLimit xmlns="c4f0213f-0adf-452d-a3ab-d444186760d8" xsi:nil="true"/>
    <LivelinkFolderPath xmlns="27d5bfe4-f75b-4ba4-8d19-0422da9885b2" xsi:nil="true"/>
    <_dlc_DocId xmlns="27d5bfe4-f75b-4ba4-8d19-0422da9885b2">UVYWYCHYYCHJ-133571546-34383</_dlc_DocId>
    <_dlc_DocIdUrl xmlns="27d5bfe4-f75b-4ba4-8d19-0422da9885b2">
      <Url>https://atos365.sharepoint.com/sites/190003894/it/_layouts/15/DocIdRedir.aspx?ID=UVYWYCHYYCHJ-133571546-34383</Url>
      <Description>UVYWYCHYYCHJ-133571546-34383</Description>
    </_dlc_DocIdUrl>
    <lcf76f155ced4ddcb4097134ff3c332f xmlns="c4f0213f-0adf-452d-a3ab-d444186760d8">
      <Terms xmlns="http://schemas.microsoft.com/office/infopath/2007/PartnerControls"/>
    </lcf76f155ced4ddcb4097134ff3c332f>
    <TaxCatchAll xmlns="e9aa198f-3527-4b2d-be02-f86f9b700563" xsi:nil="true"/>
  </documentManagement>
</p:properties>
</file>

<file path=customXml/item2.xml><?xml version="1.0" encoding="utf-8"?>
<?mso-contentType ?>
<spe:Receivers xmlns:spe="http://schemas.microsoft.com/sharepoint/events">
  <Receiver xmlns="">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E7F5D8F38A2CC147A1763B33E76AA624" ma:contentTypeVersion="31" ma:contentTypeDescription="Create a new document." ma:contentTypeScope="" ma:versionID="5e6046dc3f425f544a01eabfc44042f4">
  <xsd:schema xmlns:xsd="http://www.w3.org/2001/XMLSchema" xmlns:xs="http://www.w3.org/2001/XMLSchema" xmlns:p="http://schemas.microsoft.com/office/2006/metadata/properties" xmlns:ns2="27d5bfe4-f75b-4ba4-8d19-0422da9885b2" xmlns:ns3="c4f0213f-0adf-452d-a3ab-d444186760d8" xmlns:ns4="685458ee-6419-49d0-bff0-af20a28b13a0" xmlns:ns5="e9aa198f-3527-4b2d-be02-f86f9b700563" targetNamespace="http://schemas.microsoft.com/office/2006/metadata/properties" ma:root="true" ma:fieldsID="56e0fda101aef554cc9e729f08692aec" ns2:_="" ns3:_="" ns4:_="" ns5:_="">
    <xsd:import namespace="27d5bfe4-f75b-4ba4-8d19-0422da9885b2"/>
    <xsd:import namespace="c4f0213f-0adf-452d-a3ab-d444186760d8"/>
    <xsd:import namespace="685458ee-6419-49d0-bff0-af20a28b13a0"/>
    <xsd:import namespace="e9aa198f-3527-4b2d-be02-f86f9b700563"/>
    <xsd:element name="properties">
      <xsd:complexType>
        <xsd:sequence>
          <xsd:element name="documentManagement">
            <xsd:complexType>
              <xsd:all>
                <xsd:element ref="ns2:_dlc_DocId" minOccurs="0"/>
                <xsd:element ref="ns2:_dlc_DocIdUrl" minOccurs="0"/>
                <xsd:element ref="ns2:_dlc_DocIdPersistId" minOccurs="0"/>
                <xsd:element ref="ns2:LivelinkCreator" minOccurs="0"/>
                <xsd:element ref="ns2:LivelinkDescription" minOccurs="0"/>
                <xsd:element ref="ns2:LivelinkFolderPath" minOccurs="0"/>
                <xsd:element ref="ns2:LivelinkModifier" minOccurs="0"/>
                <xsd:element ref="ns2:LivelinkObjectID" minOccurs="0"/>
                <xsd:element ref="ns2:LivelinkOriginalName" minOccurs="0"/>
                <xsd:element ref="ns2:LivelinkOwner" minOccurs="0"/>
                <xsd:element ref="ns2:LivelinkParentID" minOccurs="0"/>
                <xsd:element ref="ns3:LockedVersions" minOccurs="0"/>
                <xsd:element ref="ns3:AdvancedVersioningLimit" minOccurs="0"/>
                <xsd:element ref="ns3:MediaServiceMetadata" minOccurs="0"/>
                <xsd:element ref="ns3:MediaServiceFastMetadata" minOccurs="0"/>
                <xsd:element ref="ns3:MediaLengthInSeconds" minOccurs="0"/>
                <xsd:element ref="ns3:MediaServiceDateTaken"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3:lcf76f155ced4ddcb4097134ff3c332f" minOccurs="0"/>
                <xsd:element ref="ns5: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d5bfe4-f75b-4ba4-8d19-0422da9885b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LivelinkCreator" ma:index="11" nillable="true" ma:displayName="LivelinkCreator" ma:internalName="LivelinkCreator" ma:readOnly="false">
      <xsd:simpleType>
        <xsd:restriction base="dms:Text">
          <xsd:maxLength value="255"/>
        </xsd:restriction>
      </xsd:simpleType>
    </xsd:element>
    <xsd:element name="LivelinkDescription" ma:index="12" nillable="true" ma:displayName="LivelinkDescription" ma:internalName="LivelinkDescription" ma:readOnly="false">
      <xsd:simpleType>
        <xsd:restriction base="dms:Note"/>
      </xsd:simpleType>
    </xsd:element>
    <xsd:element name="LivelinkFolderPath" ma:index="13" nillable="true" ma:displayName="LivelinkFolderPath" ma:internalName="LivelinkFolderPath" ma:readOnly="false">
      <xsd:simpleType>
        <xsd:restriction base="dms:Note"/>
      </xsd:simpleType>
    </xsd:element>
    <xsd:element name="LivelinkModifier" ma:index="14" nillable="true" ma:displayName="LivelinkModifier" ma:internalName="LivelinkModifier" ma:readOnly="false">
      <xsd:simpleType>
        <xsd:restriction base="dms:Text">
          <xsd:maxLength value="255"/>
        </xsd:restriction>
      </xsd:simpleType>
    </xsd:element>
    <xsd:element name="LivelinkObjectID" ma:index="15" nillable="true" ma:displayName="LivelinkObjectID" ma:internalName="LivelinkObjectID" ma:readOnly="false">
      <xsd:simpleType>
        <xsd:restriction base="dms:Text">
          <xsd:maxLength value="255"/>
        </xsd:restriction>
      </xsd:simpleType>
    </xsd:element>
    <xsd:element name="LivelinkOriginalName" ma:index="16" nillable="true" ma:displayName="LivelinkOriginalName" ma:internalName="LivelinkOriginalName" ma:readOnly="false">
      <xsd:simpleType>
        <xsd:restriction base="dms:Text">
          <xsd:maxLength value="255"/>
        </xsd:restriction>
      </xsd:simpleType>
    </xsd:element>
    <xsd:element name="LivelinkOwner" ma:index="17" nillable="true" ma:displayName="LivelinkOwner" ma:internalName="LivelinkOwner">
      <xsd:simpleType>
        <xsd:restriction base="dms:Text">
          <xsd:maxLength value="255"/>
        </xsd:restriction>
      </xsd:simpleType>
    </xsd:element>
    <xsd:element name="LivelinkParentID" ma:index="18" nillable="true" ma:displayName="LivelinkParentID" ma:internalName="LivelinkParentID"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f0213f-0adf-452d-a3ab-d444186760d8" elementFormDefault="qualified">
    <xsd:import namespace="http://schemas.microsoft.com/office/2006/documentManagement/types"/>
    <xsd:import namespace="http://schemas.microsoft.com/office/infopath/2007/PartnerControls"/>
    <xsd:element name="LockedVersions" ma:index="19" nillable="true" ma:displayName="LockedVersions" ma:hidden="true" ma:internalName="LockedVersions">
      <xsd:simpleType>
        <xsd:restriction base="dms:Text"/>
      </xsd:simpleType>
    </xsd:element>
    <xsd:element name="AdvancedVersioningLimit" ma:index="20" nillable="true" ma:displayName="AdvancedVersioningLimit" ma:hidden="true" ma:internalName="AdvancedVersioningLimit">
      <xsd:simpleType>
        <xsd:restriction base="dms:Text"/>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MediaLengthInSeconds" ma:index="23" nillable="true" ma:displayName="Length (seconds)" ma:internalName="MediaLengthInSeconds" ma:readOnly="true">
      <xsd:simpleType>
        <xsd:restriction base="dms:Unknown"/>
      </xsd:simpleType>
    </xsd:element>
    <xsd:element name="MediaServiceDateTaken" ma:index="24" nillable="true" ma:displayName="MediaServiceDateTaken" ma:hidden="true" ma:internalName="MediaServiceDateTaken" ma:readOnly="true">
      <xsd:simpleType>
        <xsd:restriction base="dms:Text"/>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ServiceAutoTags" ma:index="27" nillable="true" ma:displayName="Tags" ma:internalName="MediaServiceAutoTags" ma:readOnly="true">
      <xsd:simpleType>
        <xsd:restriction base="dms:Text"/>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element name="MediaServiceEventHashCode" ma:index="30" nillable="true" ma:displayName="MediaServiceEventHashCode" ma:hidden="true" ma:internalName="MediaServiceEventHashCode"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59967681-caf4-44cd-948e-90f57143962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5458ee-6419-49d0-bff0-af20a28b13a0"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9aa198f-3527-4b2d-be02-f86f9b700563" elementFormDefault="qualified">
    <xsd:import namespace="http://schemas.microsoft.com/office/2006/documentManagement/types"/>
    <xsd:import namespace="http://schemas.microsoft.com/office/infopath/2007/PartnerControls"/>
    <xsd:element name="TaxCatchAll" ma:index="35" nillable="true" ma:displayName="Taxonomy Catch All Column" ma:hidden="true" ma:list="{f0b2c7d8-29f3-4611-8ce3-78547e5e3763}" ma:internalName="TaxCatchAll" ma:showField="CatchAllData" ma:web="27d5bfe4-f75b-4ba4-8d19-0422da9885b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C12F3C-39ED-4338-B1D5-57D58C5D92B1}">
  <ds:schemaRefs>
    <ds:schemaRef ds:uri="http://schemas.microsoft.com/office/2006/metadata/properties"/>
    <ds:schemaRef ds:uri="e9aa198f-3527-4b2d-be02-f86f9b700563"/>
    <ds:schemaRef ds:uri="c4f0213f-0adf-452d-a3ab-d444186760d8"/>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elements/1.1/"/>
    <ds:schemaRef ds:uri="685458ee-6419-49d0-bff0-af20a28b13a0"/>
    <ds:schemaRef ds:uri="27d5bfe4-f75b-4ba4-8d19-0422da9885b2"/>
    <ds:schemaRef ds:uri="http://purl.org/dc/dcmitype/"/>
    <ds:schemaRef ds:uri="http://purl.org/dc/terms/"/>
  </ds:schemaRefs>
</ds:datastoreItem>
</file>

<file path=customXml/itemProps2.xml><?xml version="1.0" encoding="utf-8"?>
<ds:datastoreItem xmlns:ds="http://schemas.openxmlformats.org/officeDocument/2006/customXml" ds:itemID="{732F38C7-CC08-4ADE-A03C-59617292645D}">
  <ds:schemaRefs>
    <ds:schemaRef ds:uri="http://schemas.microsoft.com/sharepoint/events"/>
    <ds:schemaRef ds:uri=""/>
  </ds:schemaRefs>
</ds:datastoreItem>
</file>

<file path=customXml/itemProps3.xml><?xml version="1.0" encoding="utf-8"?>
<ds:datastoreItem xmlns:ds="http://schemas.openxmlformats.org/officeDocument/2006/customXml" ds:itemID="{D7F83ED6-CAEC-4F84-839B-33B0FE9CF3E1}">
  <ds:schemaRefs>
    <ds:schemaRef ds:uri="http://schemas.microsoft.com/sharepoint/v3/contenttype/forms"/>
  </ds:schemaRefs>
</ds:datastoreItem>
</file>

<file path=customXml/itemProps4.xml><?xml version="1.0" encoding="utf-8"?>
<ds:datastoreItem xmlns:ds="http://schemas.openxmlformats.org/officeDocument/2006/customXml" ds:itemID="{452A5665-08A8-470F-91E6-1B2EB6A6E9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d5bfe4-f75b-4ba4-8d19-0422da9885b2"/>
    <ds:schemaRef ds:uri="c4f0213f-0adf-452d-a3ab-d444186760d8"/>
    <ds:schemaRef ds:uri="685458ee-6419-49d0-bff0-af20a28b13a0"/>
    <ds:schemaRef ds:uri="e9aa198f-3527-4b2d-be02-f86f9b7005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Dell Lot Pricing</vt:lpstr>
      <vt:lpstr>Dell Options and Upgrades</vt:lpstr>
      <vt:lpstr>Exchange rates</vt:lpstr>
      <vt:lpstr>Dell - Country List</vt:lpstr>
    </vt:vector>
  </TitlesOfParts>
  <Manager/>
  <Company>Atos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Olaf van den Berg</dc:creator>
  <cp:keywords/>
  <dc:description/>
  <cp:lastModifiedBy>Nick Maidment</cp:lastModifiedBy>
  <cp:revision/>
  <dcterms:created xsi:type="dcterms:W3CDTF">2013-10-09T12:38:05Z</dcterms:created>
  <dcterms:modified xsi:type="dcterms:W3CDTF">2025-07-02T12:36:27Z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ExAnalyzer_OldName">
    <vt:lpwstr>X86 Basket Q3 2016 v5.3.xlsx</vt:lpwstr>
  </property>
  <property fmtid="{D5CDD505-2E9C-101B-9397-08002B2CF9AE}" pid="3" name="_NewReviewCycle">
    <vt:lpwstr/>
  </property>
  <property fmtid="{D5CDD505-2E9C-101B-9397-08002B2CF9AE}" pid="4" name="ContentTypeId">
    <vt:lpwstr>0x010100E7F5D8F38A2CC147A1763B33E76AA624</vt:lpwstr>
  </property>
  <property fmtid="{D5CDD505-2E9C-101B-9397-08002B2CF9AE}" pid="5" name="_dlc_DocIdItemGuid">
    <vt:lpwstr>3649ef59-b0dd-4c11-ac26-614764ceac36</vt:lpwstr>
  </property>
  <property fmtid="{D5CDD505-2E9C-101B-9397-08002B2CF9AE}" pid="6" name="MSIP_Label_e463cba9-5f6c-478d-9329-7b2295e4e8ed_Enabled">
    <vt:lpwstr>true</vt:lpwstr>
  </property>
  <property fmtid="{D5CDD505-2E9C-101B-9397-08002B2CF9AE}" pid="7" name="MSIP_Label_e463cba9-5f6c-478d-9329-7b2295e4e8ed_SetDate">
    <vt:lpwstr>2021-12-07T13:59:02Z</vt:lpwstr>
  </property>
  <property fmtid="{D5CDD505-2E9C-101B-9397-08002B2CF9AE}" pid="8" name="MSIP_Label_e463cba9-5f6c-478d-9329-7b2295e4e8ed_Method">
    <vt:lpwstr>Standard</vt:lpwstr>
  </property>
  <property fmtid="{D5CDD505-2E9C-101B-9397-08002B2CF9AE}" pid="9" name="MSIP_Label_e463cba9-5f6c-478d-9329-7b2295e4e8ed_Name">
    <vt:lpwstr>All Employees_2</vt:lpwstr>
  </property>
  <property fmtid="{D5CDD505-2E9C-101B-9397-08002B2CF9AE}" pid="10" name="MSIP_Label_e463cba9-5f6c-478d-9329-7b2295e4e8ed_SiteId">
    <vt:lpwstr>33440fc6-b7c7-412c-bb73-0e70b0198d5a</vt:lpwstr>
  </property>
  <property fmtid="{D5CDD505-2E9C-101B-9397-08002B2CF9AE}" pid="11" name="MSIP_Label_e463cba9-5f6c-478d-9329-7b2295e4e8ed_ActionId">
    <vt:lpwstr>64c2ff23-ff95-46be-aa92-a074c30d059a</vt:lpwstr>
  </property>
  <property fmtid="{D5CDD505-2E9C-101B-9397-08002B2CF9AE}" pid="12" name="MSIP_Label_e463cba9-5f6c-478d-9329-7b2295e4e8ed_ContentBits">
    <vt:lpwstr>0</vt:lpwstr>
  </property>
  <property fmtid="{D5CDD505-2E9C-101B-9397-08002B2CF9AE}" pid="13" name="MediaServiceImageTags">
    <vt:lpwstr/>
  </property>
  <property fmtid="{D5CDD505-2E9C-101B-9397-08002B2CF9AE}" pid="14" name="MSIP_Label_ecb69475-382c-4c7a-b21d-8ca64eeef1bd_Enabled">
    <vt:lpwstr>true</vt:lpwstr>
  </property>
  <property fmtid="{D5CDD505-2E9C-101B-9397-08002B2CF9AE}" pid="15" name="MSIP_Label_ecb69475-382c-4c7a-b21d-8ca64eeef1bd_SetDate">
    <vt:lpwstr>2024-11-01T12:05:39Z</vt:lpwstr>
  </property>
  <property fmtid="{D5CDD505-2E9C-101B-9397-08002B2CF9AE}" pid="16" name="MSIP_Label_ecb69475-382c-4c7a-b21d-8ca64eeef1bd_Method">
    <vt:lpwstr>Standard</vt:lpwstr>
  </property>
  <property fmtid="{D5CDD505-2E9C-101B-9397-08002B2CF9AE}" pid="17" name="MSIP_Label_ecb69475-382c-4c7a-b21d-8ca64eeef1bd_Name">
    <vt:lpwstr>Eviden For Internal Use - All Employees</vt:lpwstr>
  </property>
  <property fmtid="{D5CDD505-2E9C-101B-9397-08002B2CF9AE}" pid="18" name="MSIP_Label_ecb69475-382c-4c7a-b21d-8ca64eeef1bd_SiteId">
    <vt:lpwstr>7d1c7785-2d8a-437d-b842-1ed5d8fbe00a</vt:lpwstr>
  </property>
  <property fmtid="{D5CDD505-2E9C-101B-9397-08002B2CF9AE}" pid="19" name="MSIP_Label_ecb69475-382c-4c7a-b21d-8ca64eeef1bd_ActionId">
    <vt:lpwstr>68987924-8e6a-473b-a762-40d8914c80c4</vt:lpwstr>
  </property>
  <property fmtid="{D5CDD505-2E9C-101B-9397-08002B2CF9AE}" pid="20" name="MSIP_Label_ecb69475-382c-4c7a-b21d-8ca64eeef1bd_ContentBits">
    <vt:lpwstr>0</vt:lpwstr>
  </property>
</Properties>
</file>